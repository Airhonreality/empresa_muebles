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Herramientas del servicio\flujo_automatizacion\"/>
    </mc:Choice>
  </mc:AlternateContent>
  <xr:revisionPtr revIDLastSave="0" documentId="13_ncr:1_{BC74B630-4BEF-46A9-923D-F8B95225AC2F}" xr6:coauthVersionLast="47" xr6:coauthVersionMax="47" xr10:uidLastSave="{00000000-0000-0000-0000-000000000000}"/>
  <bookViews>
    <workbookView xWindow="-120" yWindow="-120" windowWidth="29040" windowHeight="15720" xr2:uid="{22108F39-7E69-4B5F-A557-B44FCC6EE934}"/>
  </bookViews>
  <sheets>
    <sheet name="sincronizador" sheetId="1" r:id="rId1"/>
    <sheet name="especificaciones del proyecto" sheetId="2" r:id="rId2"/>
    <sheet name="Hoja2" sheetId="4" r:id="rId3"/>
    <sheet name="formul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E64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2" i="4"/>
  <c r="B32" i="4"/>
  <c r="E31" i="4"/>
  <c r="E30" i="4"/>
  <c r="E29" i="4"/>
  <c r="E28" i="4"/>
  <c r="E27" i="4"/>
  <c r="E26" i="4"/>
  <c r="E25" i="4"/>
  <c r="E24" i="4"/>
  <c r="E21" i="4"/>
  <c r="E20" i="4"/>
  <c r="E19" i="4"/>
  <c r="E18" i="4"/>
  <c r="E17" i="4"/>
  <c r="E16" i="4"/>
  <c r="E15" i="4"/>
  <c r="E12" i="4"/>
  <c r="E11" i="4"/>
  <c r="E10" i="4"/>
  <c r="E9" i="4"/>
  <c r="B6" i="4"/>
  <c r="E35" i="4" s="1"/>
  <c r="E4" i="4"/>
  <c r="D3" i="4"/>
  <c r="E3" i="4" s="1"/>
  <c r="E6" i="4" s="1"/>
  <c r="E2" i="4"/>
  <c r="C66" i="4" l="1"/>
  <c r="E37" i="4"/>
  <c r="C67" i="4" s="1"/>
  <c r="C68" i="4" s="1"/>
</calcChain>
</file>

<file path=xl/sharedStrings.xml><?xml version="1.0" encoding="utf-8"?>
<sst xmlns="http://schemas.openxmlformats.org/spreadsheetml/2006/main" count="125" uniqueCount="92">
  <si>
    <t>#atributo.jpg</t>
  </si>
  <si>
    <t>#nombre_atributo</t>
  </si>
  <si>
    <t>#descripcion_atributo</t>
  </si>
  <si>
    <t>https://hermanosgarciasas.com/img_productos/</t>
  </si>
  <si>
    <t>.jpg</t>
  </si>
  <si>
    <t>lami-2-table</t>
  </si>
  <si>
    <t>codigo_imagen</t>
  </si>
  <si>
    <t>loco</t>
  </si>
  <si>
    <t>cedula</t>
  </si>
  <si>
    <t>nombre contratante</t>
  </si>
  <si>
    <t>direccion</t>
  </si>
  <si>
    <t>telefono</t>
  </si>
  <si>
    <t>correo</t>
  </si>
  <si>
    <t>Columna1</t>
  </si>
  <si>
    <t>Columna2</t>
  </si>
  <si>
    <t>fecha de ingerso</t>
  </si>
  <si>
    <t>nombre del proyecto</t>
  </si>
  <si>
    <t>nombre del espacio / modulo</t>
  </si>
  <si>
    <t>acabados</t>
  </si>
  <si>
    <t>estructura</t>
  </si>
  <si>
    <t>material</t>
  </si>
  <si>
    <t>accesorios</t>
  </si>
  <si>
    <t>costo</t>
  </si>
  <si>
    <t>Santiago Lopez</t>
  </si>
  <si>
    <t>Modulos de cocina</t>
  </si>
  <si>
    <t>cantidad</t>
  </si>
  <si>
    <t>unidad de medida</t>
  </si>
  <si>
    <t>valor unitario</t>
  </si>
  <si>
    <t>valor total</t>
  </si>
  <si>
    <t>Modulos inferiores</t>
  </si>
  <si>
    <t>mt lineal</t>
  </si>
  <si>
    <t>Modulos superiores incluye luz</t>
  </si>
  <si>
    <t>Torre de mercados</t>
  </si>
  <si>
    <t>unidad</t>
  </si>
  <si>
    <t>total estructura modular</t>
  </si>
  <si>
    <t>Mesones</t>
  </si>
  <si>
    <t>Granito</t>
  </si>
  <si>
    <t>Quarztone</t>
  </si>
  <si>
    <t>Sinterizado</t>
  </si>
  <si>
    <t>total mesones</t>
  </si>
  <si>
    <t>Accesorios</t>
  </si>
  <si>
    <t>Cajones laterlas metalico</t>
  </si>
  <si>
    <t>juego</t>
  </si>
  <si>
    <t>Cajon basico</t>
  </si>
  <si>
    <t>brazo puerta doble</t>
  </si>
  <si>
    <t>Bisagras</t>
  </si>
  <si>
    <t>Brazo neumatico</t>
  </si>
  <si>
    <t>total escencial</t>
  </si>
  <si>
    <t>Acabados</t>
  </si>
  <si>
    <t>puerta de melamina mediana</t>
  </si>
  <si>
    <t>puerta de altobrillo mediana</t>
  </si>
  <si>
    <t>puerta de poliuretano mediana</t>
  </si>
  <si>
    <t>puerta de vidrio mediana</t>
  </si>
  <si>
    <t>puerta de  melamina grande</t>
  </si>
  <si>
    <t>puerta de altobrillo  grande</t>
  </si>
  <si>
    <t>puerta de poliuretano  grande</t>
  </si>
  <si>
    <t>puerta de vidrio  grande</t>
  </si>
  <si>
    <t>Total apariencia</t>
  </si>
  <si>
    <t>Columna3</t>
  </si>
  <si>
    <t>Columna4</t>
  </si>
  <si>
    <t>Columna5</t>
  </si>
  <si>
    <t>Costos de producción fijos</t>
  </si>
  <si>
    <t>Transportes generales</t>
  </si>
  <si>
    <t>Total operacionales y mano de obra</t>
  </si>
  <si>
    <t>accesorio especial</t>
  </si>
  <si>
    <t>precio unitario</t>
  </si>
  <si>
    <t>precio total</t>
  </si>
  <si>
    <t>Sistemas de iluminación adicional</t>
  </si>
  <si>
    <t>Ojo de buey</t>
  </si>
  <si>
    <t>brazos</t>
  </si>
  <si>
    <t>Tomas</t>
  </si>
  <si>
    <t>esquina magica</t>
  </si>
  <si>
    <t>Rieles cierre lento</t>
  </si>
  <si>
    <t>Barra</t>
  </si>
  <si>
    <t>percheros</t>
  </si>
  <si>
    <t>residuos</t>
  </si>
  <si>
    <t>condimentero</t>
  </si>
  <si>
    <t>canastillas</t>
  </si>
  <si>
    <t>escurridor basico</t>
  </si>
  <si>
    <t>Cubiertero</t>
  </si>
  <si>
    <t>Estufa</t>
  </si>
  <si>
    <t>Horno</t>
  </si>
  <si>
    <t>Estractor</t>
  </si>
  <si>
    <t>Lavaplatos</t>
  </si>
  <si>
    <t>Griferia</t>
  </si>
  <si>
    <t>Lavavajillas</t>
  </si>
  <si>
    <t>Microondas</t>
  </si>
  <si>
    <t>triturador basuras</t>
  </si>
  <si>
    <t>Utilidad</t>
  </si>
  <si>
    <t xml:space="preserve">Total sin especiales </t>
  </si>
  <si>
    <t>Total conespeciales</t>
  </si>
  <si>
    <t>hola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</si>
</sst>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Consolas"/>
      <family val="3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44" fontId="3" fillId="0" borderId="0" xfId="1" applyFont="1"/>
    <xf numFmtId="44" fontId="0" fillId="0" borderId="0" xfId="1" applyFont="1"/>
    <xf numFmtId="44" fontId="2" fillId="0" borderId="0" xfId="1" applyFont="1"/>
    <xf numFmtId="9" fontId="3" fillId="0" borderId="0" xfId="2" applyFont="1"/>
  </cellXfs>
  <cellStyles count="3">
    <cellStyle name="Moneda" xfId="1" builtinId="4"/>
    <cellStyle name="Normal" xfId="0" builtinId="0"/>
    <cellStyle name="Porcentaje" xfId="2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D9B46-F348-4D58-9B0F-F24CFCBC9EB4}" name="datos_contratante" displayName="datos_contratante" ref="A1:B10" totalsRowShown="0">
  <autoFilter ref="A1:B10" xr:uid="{ADBD9B46-F348-4D58-9B0F-F24CFCBC9EB4}"/>
  <tableColumns count="2">
    <tableColumn id="1" xr3:uid="{2F11D953-1332-42CB-9676-546C2EC7EF85}" name="Columna1"/>
    <tableColumn id="2" xr3:uid="{A3A8D7A1-925F-4CD1-A606-C72D4B2B94AA}" name="Columna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A4CEC-5D18-4704-A049-763175DEE263}" name="producto_contratado" displayName="producto_contratado" ref="A14:B18" totalsRowShown="0">
  <autoFilter ref="A14:B18" xr:uid="{274A4CEC-5D18-4704-A049-763175DEE263}"/>
  <tableColumns count="2">
    <tableColumn id="1" xr3:uid="{957A62F4-EE2C-4180-AA53-C221D9699D6A}" name="nombre del espacio / modulo"/>
    <tableColumn id="2" xr3:uid="{3A2FAEFC-3E27-43F9-9F1F-71F265D0563C}" name="materi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3B352-3AAE-4537-8C73-1084CC761B7E}" name="Tabla1" displayName="Tabla1" ref="A39:E64" totalsRowCount="1" headerRowCellStyle="Normal" dataCellStyle="Normal">
  <autoFilter ref="A39:E63" xr:uid="{2AA3B352-3AAE-4537-8C73-1084CC761B7E}"/>
  <tableColumns count="5">
    <tableColumn id="1" xr3:uid="{0A888BDA-0A52-4C0C-9F47-00C2C851C8C4}" name="accesorio especial" dataCellStyle="Normal"/>
    <tableColumn id="2" xr3:uid="{3F61D6A8-7E12-43EC-BB20-CAC8A7D2457E}" name="cantidad" dataCellStyle="Normal"/>
    <tableColumn id="3" xr3:uid="{F449744D-FF99-4B91-AF9C-213078B81C39}" name="unidad de medida" dataCellStyle="Normal"/>
    <tableColumn id="4" xr3:uid="{7A77CF3D-1B93-4743-A589-3FA8CEE817DE}" name="precio unitario" dataDxfId="13" dataCellStyle="Moneda"/>
    <tableColumn id="5" xr3:uid="{C030BD4C-4586-4002-AFFD-9AFCB06778DB}" name="precio total" totalsRowFunction="custom" dataCellStyle="Normal">
      <totalsRowFormula>SUM(E40:E63)</totalsRow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E6C9C9-9803-45E9-8984-05584E1BC1C0}" name="Tabla2" displayName="Tabla2" ref="A34:E37" totalsRowShown="0">
  <autoFilter ref="A34:E37" xr:uid="{7AE6C9C9-9803-45E9-8984-05584E1BC1C0}"/>
  <tableColumns count="5">
    <tableColumn id="1" xr3:uid="{CB103997-7E0F-4E86-BE2D-4D5F87D90CE4}" name="Columna1"/>
    <tableColumn id="2" xr3:uid="{1A9AA22D-3E2D-459C-BE6D-5E8892F9D383}" name="Columna2"/>
    <tableColumn id="3" xr3:uid="{875E710B-6A18-4B12-B9E8-682DB9170ED4}" name="Columna3"/>
    <tableColumn id="4" xr3:uid="{22AB9A4E-DE2E-49F2-8908-FBC61A416B31}" name="Columna4"/>
    <tableColumn id="5" xr3:uid="{285604ED-3E8D-45DF-B2FC-2CFA448494C8}" name="Columna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5623D8-00B2-42C1-96A8-0C1FE396D26D}" name="Tabla3" displayName="Tabla3" ref="A23:E32" totalsRowShown="0" headerRowDxfId="12" headerRowCellStyle="Moneda">
  <autoFilter ref="A23:E32" xr:uid="{045623D8-00B2-42C1-96A8-0C1FE396D26D}"/>
  <tableColumns count="5">
    <tableColumn id="1" xr3:uid="{A58BA836-C58D-4776-8510-F592FA987956}" name="Acabados"/>
    <tableColumn id="2" xr3:uid="{4A2D3FEF-0A6D-405D-BB36-61D4BE73984F}" name="cantidad" dataDxfId="11">
      <calculatedColumnFormula>5/0.4</calculatedColumnFormula>
    </tableColumn>
    <tableColumn id="3" xr3:uid="{228EA208-9862-4D20-9C04-2B577E061CCA}" name="unidad de medida"/>
    <tableColumn id="4" xr3:uid="{F8DFBC0E-14D2-4C3B-B58D-E48304364AD3}" name="valor unitario" dataDxfId="10" dataCellStyle="Moneda"/>
    <tableColumn id="5" xr3:uid="{99890296-B36A-4C80-976A-102EA546DD21}" name="valor total" dataCellStyle="Normal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A548F6-76D5-4236-BA5C-5871F146CEB4}" name="Tabla4" displayName="Tabla4" ref="A14:E21" totalsRowShown="0" headerRowDxfId="9" headerRowCellStyle="Moneda">
  <autoFilter ref="A14:E21" xr:uid="{2EA548F6-76D5-4236-BA5C-5871F146CEB4}"/>
  <tableColumns count="5">
    <tableColumn id="1" xr3:uid="{51408F30-E59D-4109-A594-245319F44A1B}" name="Accesorios"/>
    <tableColumn id="2" xr3:uid="{05DAE556-DE16-4C48-A6C1-0C294E9954BE}" name="cantidad"/>
    <tableColumn id="3" xr3:uid="{807026F1-01C1-475C-9C70-3AC83FF4C2D6}" name="unidad de medida"/>
    <tableColumn id="4" xr3:uid="{20649402-237E-45A1-A88F-821E46023BEA}" name="valor unitario" dataDxfId="8" dataCellStyle="Moneda"/>
    <tableColumn id="5" xr3:uid="{C0AF1141-8715-44F6-BD41-EB350A6C864E}" name="valor total" dataDxfId="7" dataCellStyle="Moneda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CC4049-8619-407E-8CA2-7F389A24DC6A}" name="Tabla5" displayName="Tabla5" ref="A8:E12" totalsRowShown="0" headerRowDxfId="6" headerRowCellStyle="Moneda">
  <autoFilter ref="A8:E12" xr:uid="{08CC4049-8619-407E-8CA2-7F389A24DC6A}"/>
  <tableColumns count="5">
    <tableColumn id="1" xr3:uid="{4C45ABB2-4532-4F54-9246-2D2D1B66E2A7}" name="Mesones"/>
    <tableColumn id="2" xr3:uid="{B6C83AF1-0C1C-4EEF-ACD7-975793DC9B6D}" name="cantidad" dataDxfId="5">
      <calculatedColumnFormula>1.23+1</calculatedColumnFormula>
    </tableColumn>
    <tableColumn id="3" xr3:uid="{F549FE74-5644-4330-BC22-5819849A1C51}" name="unidad de medida"/>
    <tableColumn id="4" xr3:uid="{0DF1470B-E18C-465B-9138-D47348BC0197}" name="valor unitario" dataDxfId="4" dataCellStyle="Moneda"/>
    <tableColumn id="5" xr3:uid="{A7FDD5E8-63E2-4C59-B5E3-4D27DC02610A}" name="valor total" dataDxfId="3" dataCellStyle="Moneda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B18C1A-E41F-4747-BD53-9DBC523FE948}" name="Tabla6" displayName="Tabla6" ref="A1:E6" totalsRowShown="0" headerRowDxfId="2" headerRowCellStyle="Moneda">
  <autoFilter ref="A1:E6" xr:uid="{54B18C1A-E41F-4747-BD53-9DBC523FE948}"/>
  <tableColumns count="5">
    <tableColumn id="1" xr3:uid="{C3A69C79-5FE4-4C52-932D-FA5BAD85269A}" name="Modulos de cocina"/>
    <tableColumn id="2" xr3:uid="{B804FE2B-EC0D-4760-98CF-AAFC595EBB8A}" name="cantidad"/>
    <tableColumn id="3" xr3:uid="{1F417772-0F64-417E-8844-28190E380322}" name="unidad de medida"/>
    <tableColumn id="4" xr3:uid="{43916D03-A5E2-4B7D-9367-7B970FC26A3B}" name="valor unitario" dataDxfId="1" dataCellStyle="Moneda"/>
    <tableColumn id="5" xr3:uid="{D49CEB00-5DF1-4228-A09F-D3DD176F7EEE}" name="valor total" dataDxfId="0" dataCellStyle="Mon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04B0-503C-4F53-9785-70D0E820637D}">
  <dimension ref="A1:L2"/>
  <sheetViews>
    <sheetView tabSelected="1" zoomScale="160" zoomScaleNormal="160" workbookViewId="0">
      <selection activeCell="B6" sqref="B6"/>
    </sheetView>
  </sheetViews>
  <sheetFormatPr baseColWidth="10" defaultRowHeight="15" x14ac:dyDescent="0.25"/>
  <cols>
    <col min="3" max="3" width="35.140625" style="1" customWidth="1"/>
    <col min="4" max="4" width="16.85546875" style="1" bestFit="1" customWidth="1"/>
    <col min="5" max="12" width="11.42578125" style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customHeight="1" x14ac:dyDescent="0.25">
      <c r="A2" s="2" t="str">
        <f>formulas!A2 &amp; formulas!B2&amp;formulas!A3</f>
        <v>https://hermanosgarciasas.com/img_productos/lami-2-table.jpg</v>
      </c>
      <c r="B2" s="1" t="s">
        <v>91</v>
      </c>
      <c r="C2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8835-6BB8-494A-9FF2-708EB978F3B6}">
  <dimension ref="A1:B18"/>
  <sheetViews>
    <sheetView workbookViewId="0">
      <selection activeCell="C37" sqref="C37"/>
    </sheetView>
  </sheetViews>
  <sheetFormatPr baseColWidth="10" defaultRowHeight="15" x14ac:dyDescent="0.25"/>
  <cols>
    <col min="1" max="1" width="29.140625" customWidth="1"/>
    <col min="2" max="2" width="23.5703125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9</v>
      </c>
      <c r="B2" t="s">
        <v>23</v>
      </c>
    </row>
    <row r="3" spans="1:2" x14ac:dyDescent="0.25">
      <c r="A3" t="s">
        <v>8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</row>
    <row r="7" spans="1:2" x14ac:dyDescent="0.25">
      <c r="A7" t="s">
        <v>15</v>
      </c>
    </row>
    <row r="8" spans="1:2" x14ac:dyDescent="0.25">
      <c r="A8" t="s">
        <v>16</v>
      </c>
    </row>
    <row r="14" spans="1:2" x14ac:dyDescent="0.25">
      <c r="A14" t="s">
        <v>17</v>
      </c>
      <c r="B14" t="s">
        <v>20</v>
      </c>
    </row>
    <row r="15" spans="1:2" x14ac:dyDescent="0.25">
      <c r="A15" t="s">
        <v>19</v>
      </c>
    </row>
    <row r="16" spans="1:2" x14ac:dyDescent="0.25">
      <c r="A16" t="s">
        <v>18</v>
      </c>
    </row>
    <row r="17" spans="1:1" x14ac:dyDescent="0.25">
      <c r="A17" t="s">
        <v>21</v>
      </c>
    </row>
    <row r="18" spans="1:1" x14ac:dyDescent="0.25">
      <c r="A18" t="s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C9AF-E69D-45F1-A7C0-78AAFFF5F44C}">
  <dimension ref="A1:E68"/>
  <sheetViews>
    <sheetView workbookViewId="0">
      <selection activeCell="B27" sqref="B27"/>
    </sheetView>
  </sheetViews>
  <sheetFormatPr baseColWidth="10" defaultRowHeight="15" x14ac:dyDescent="0.25"/>
  <cols>
    <col min="1" max="1" width="33.140625" bestFit="1" customWidth="1"/>
    <col min="2" max="2" width="12.42578125" bestFit="1" customWidth="1"/>
    <col min="3" max="3" width="19.42578125" bestFit="1" customWidth="1"/>
    <col min="4" max="4" width="16.5703125" bestFit="1" customWidth="1"/>
    <col min="5" max="5" width="14.5703125" bestFit="1" customWidth="1"/>
  </cols>
  <sheetData>
    <row r="1" spans="1:5" x14ac:dyDescent="0.25">
      <c r="A1" s="3" t="s">
        <v>24</v>
      </c>
      <c r="B1" s="3" t="s">
        <v>25</v>
      </c>
      <c r="C1" s="3" t="s">
        <v>26</v>
      </c>
      <c r="D1" s="4" t="s">
        <v>27</v>
      </c>
      <c r="E1" s="4" t="s">
        <v>28</v>
      </c>
    </row>
    <row r="2" spans="1:5" x14ac:dyDescent="0.25">
      <c r="A2" t="s">
        <v>29</v>
      </c>
      <c r="B2">
        <v>2.2000000000000002</v>
      </c>
      <c r="C2" t="s">
        <v>30</v>
      </c>
      <c r="D2" s="5">
        <v>470000</v>
      </c>
      <c r="E2" s="5">
        <f>B2*D2</f>
        <v>1034000.0000000001</v>
      </c>
    </row>
    <row r="3" spans="1:5" x14ac:dyDescent="0.25">
      <c r="A3" t="s">
        <v>31</v>
      </c>
      <c r="B3">
        <v>2.7</v>
      </c>
      <c r="C3" t="s">
        <v>30</v>
      </c>
      <c r="D3" s="5">
        <f>250000+80000</f>
        <v>330000</v>
      </c>
      <c r="E3" s="5">
        <f>B3*D3</f>
        <v>891000.00000000012</v>
      </c>
    </row>
    <row r="4" spans="1:5" x14ac:dyDescent="0.25">
      <c r="A4" t="s">
        <v>32</v>
      </c>
      <c r="C4" t="s">
        <v>33</v>
      </c>
      <c r="D4" s="5">
        <v>450000</v>
      </c>
      <c r="E4" s="5">
        <f>B4*D4</f>
        <v>0</v>
      </c>
    </row>
    <row r="5" spans="1:5" x14ac:dyDescent="0.25">
      <c r="D5" s="5"/>
      <c r="E5" s="5"/>
    </row>
    <row r="6" spans="1:5" x14ac:dyDescent="0.25">
      <c r="A6" s="3" t="s">
        <v>34</v>
      </c>
      <c r="B6" s="3">
        <f>SUM(B2:B5)</f>
        <v>4.9000000000000004</v>
      </c>
      <c r="C6" s="3"/>
      <c r="D6" s="4"/>
      <c r="E6">
        <f>SUM(E2:E5)</f>
        <v>1925000.0000000002</v>
      </c>
    </row>
    <row r="7" spans="1:5" x14ac:dyDescent="0.25">
      <c r="D7" s="5"/>
      <c r="E7" s="5"/>
    </row>
    <row r="8" spans="1:5" x14ac:dyDescent="0.25">
      <c r="A8" s="3" t="s">
        <v>35</v>
      </c>
      <c r="B8" s="3" t="s">
        <v>25</v>
      </c>
      <c r="C8" s="3" t="s">
        <v>26</v>
      </c>
      <c r="D8" s="4" t="s">
        <v>27</v>
      </c>
      <c r="E8" s="4" t="s">
        <v>28</v>
      </c>
    </row>
    <row r="9" spans="1:5" x14ac:dyDescent="0.25">
      <c r="A9" t="s">
        <v>36</v>
      </c>
      <c r="B9">
        <v>3</v>
      </c>
      <c r="C9" t="s">
        <v>30</v>
      </c>
      <c r="D9" s="5">
        <v>600000</v>
      </c>
      <c r="E9" s="5">
        <f>B9*D9</f>
        <v>1800000</v>
      </c>
    </row>
    <row r="10" spans="1:5" x14ac:dyDescent="0.25">
      <c r="A10" t="s">
        <v>37</v>
      </c>
      <c r="C10" t="s">
        <v>30</v>
      </c>
      <c r="D10" s="5">
        <v>830000</v>
      </c>
      <c r="E10" s="5">
        <f>B10*D10</f>
        <v>0</v>
      </c>
    </row>
    <row r="11" spans="1:5" x14ac:dyDescent="0.25">
      <c r="A11" t="s">
        <v>38</v>
      </c>
      <c r="C11" t="s">
        <v>30</v>
      </c>
      <c r="D11" s="5">
        <v>1350000</v>
      </c>
      <c r="E11" s="5">
        <f>B11*D11</f>
        <v>0</v>
      </c>
    </row>
    <row r="12" spans="1:5" x14ac:dyDescent="0.25">
      <c r="A12" s="3" t="s">
        <v>39</v>
      </c>
      <c r="B12" s="3"/>
      <c r="C12" s="3"/>
      <c r="D12" s="4"/>
      <c r="E12" s="4">
        <f>SUM(E9:E11)</f>
        <v>1800000</v>
      </c>
    </row>
    <row r="13" spans="1:5" x14ac:dyDescent="0.25">
      <c r="D13" s="5"/>
      <c r="E13" s="5"/>
    </row>
    <row r="14" spans="1:5" x14ac:dyDescent="0.25">
      <c r="A14" s="3" t="s">
        <v>40</v>
      </c>
      <c r="B14" s="3" t="s">
        <v>25</v>
      </c>
      <c r="C14" s="3" t="s">
        <v>26</v>
      </c>
      <c r="D14" s="4" t="s">
        <v>27</v>
      </c>
      <c r="E14" s="4" t="s">
        <v>28</v>
      </c>
    </row>
    <row r="15" spans="1:5" x14ac:dyDescent="0.25">
      <c r="A15" t="s">
        <v>41</v>
      </c>
      <c r="C15" t="s">
        <v>42</v>
      </c>
      <c r="D15" s="5">
        <v>110000</v>
      </c>
      <c r="E15" s="5">
        <f>B15*D15</f>
        <v>0</v>
      </c>
    </row>
    <row r="16" spans="1:5" x14ac:dyDescent="0.25">
      <c r="A16" t="s">
        <v>43</v>
      </c>
      <c r="B16">
        <v>3</v>
      </c>
      <c r="C16" t="s">
        <v>42</v>
      </c>
      <c r="D16" s="5">
        <v>60000</v>
      </c>
      <c r="E16" s="5">
        <f>B16*D16</f>
        <v>180000</v>
      </c>
    </row>
    <row r="17" spans="1:5" x14ac:dyDescent="0.25">
      <c r="A17" t="s">
        <v>44</v>
      </c>
      <c r="C17" t="s">
        <v>42</v>
      </c>
      <c r="D17" s="5">
        <v>450000</v>
      </c>
      <c r="E17" s="5">
        <f t="shared" ref="E17:E20" si="0">B17*D17</f>
        <v>0</v>
      </c>
    </row>
    <row r="18" spans="1:5" x14ac:dyDescent="0.25">
      <c r="A18" t="s">
        <v>45</v>
      </c>
      <c r="B18">
        <v>15</v>
      </c>
      <c r="C18" t="s">
        <v>42</v>
      </c>
      <c r="D18" s="5">
        <v>12000</v>
      </c>
      <c r="E18" s="5">
        <f t="shared" si="0"/>
        <v>180000</v>
      </c>
    </row>
    <row r="19" spans="1:5" x14ac:dyDescent="0.25">
      <c r="A19" t="s">
        <v>46</v>
      </c>
      <c r="C19" t="s">
        <v>42</v>
      </c>
      <c r="D19" s="5">
        <v>12000</v>
      </c>
      <c r="E19" s="5">
        <f t="shared" si="0"/>
        <v>0</v>
      </c>
    </row>
    <row r="20" spans="1:5" x14ac:dyDescent="0.25">
      <c r="D20" s="5"/>
      <c r="E20" s="5">
        <f t="shared" si="0"/>
        <v>0</v>
      </c>
    </row>
    <row r="21" spans="1:5" x14ac:dyDescent="0.25">
      <c r="A21" s="3" t="s">
        <v>47</v>
      </c>
      <c r="B21" s="3"/>
      <c r="C21" s="3"/>
      <c r="D21" s="4"/>
      <c r="E21" s="4">
        <f>SUM(E15:E20)</f>
        <v>360000</v>
      </c>
    </row>
    <row r="22" spans="1:5" x14ac:dyDescent="0.25">
      <c r="D22" s="5"/>
      <c r="E22" s="5"/>
    </row>
    <row r="23" spans="1:5" x14ac:dyDescent="0.25">
      <c r="A23" s="3" t="s">
        <v>48</v>
      </c>
      <c r="B23" s="3" t="s">
        <v>25</v>
      </c>
      <c r="C23" s="3" t="s">
        <v>26</v>
      </c>
      <c r="D23" s="4" t="s">
        <v>27</v>
      </c>
      <c r="E23" s="4" t="s">
        <v>28</v>
      </c>
    </row>
    <row r="24" spans="1:5" x14ac:dyDescent="0.25">
      <c r="A24" t="s">
        <v>49</v>
      </c>
      <c r="B24">
        <v>14</v>
      </c>
      <c r="C24" t="s">
        <v>33</v>
      </c>
      <c r="D24" s="6">
        <v>50000</v>
      </c>
      <c r="E24">
        <f>B24*D24</f>
        <v>700000</v>
      </c>
    </row>
    <row r="25" spans="1:5" x14ac:dyDescent="0.25">
      <c r="A25" t="s">
        <v>50</v>
      </c>
      <c r="C25" t="s">
        <v>33</v>
      </c>
      <c r="D25" s="6">
        <v>100000</v>
      </c>
      <c r="E25">
        <f t="shared" ref="E25:E31" si="1">B25*D25</f>
        <v>0</v>
      </c>
    </row>
    <row r="26" spans="1:5" x14ac:dyDescent="0.25">
      <c r="A26" t="s">
        <v>51</v>
      </c>
      <c r="C26" t="s">
        <v>33</v>
      </c>
      <c r="D26" s="6">
        <v>142000</v>
      </c>
      <c r="E26">
        <f t="shared" si="1"/>
        <v>0</v>
      </c>
    </row>
    <row r="27" spans="1:5" x14ac:dyDescent="0.25">
      <c r="A27" t="s">
        <v>52</v>
      </c>
      <c r="C27" t="s">
        <v>33</v>
      </c>
      <c r="D27" s="6">
        <v>250000</v>
      </c>
      <c r="E27">
        <f t="shared" si="1"/>
        <v>0</v>
      </c>
    </row>
    <row r="28" spans="1:5" x14ac:dyDescent="0.25">
      <c r="A28" t="s">
        <v>53</v>
      </c>
      <c r="C28" t="s">
        <v>33</v>
      </c>
      <c r="D28" s="6">
        <v>90000</v>
      </c>
      <c r="E28">
        <f t="shared" si="1"/>
        <v>0</v>
      </c>
    </row>
    <row r="29" spans="1:5" x14ac:dyDescent="0.25">
      <c r="A29" t="s">
        <v>54</v>
      </c>
      <c r="C29" t="s">
        <v>33</v>
      </c>
      <c r="D29" s="6">
        <v>252000</v>
      </c>
      <c r="E29">
        <f t="shared" si="1"/>
        <v>0</v>
      </c>
    </row>
    <row r="30" spans="1:5" x14ac:dyDescent="0.25">
      <c r="A30" t="s">
        <v>55</v>
      </c>
      <c r="C30" t="s">
        <v>33</v>
      </c>
      <c r="D30" s="6">
        <v>324000</v>
      </c>
      <c r="E30">
        <f t="shared" si="1"/>
        <v>0</v>
      </c>
    </row>
    <row r="31" spans="1:5" x14ac:dyDescent="0.25">
      <c r="A31" t="s">
        <v>56</v>
      </c>
      <c r="C31" t="s">
        <v>33</v>
      </c>
      <c r="D31" s="6">
        <v>450000</v>
      </c>
      <c r="E31">
        <f t="shared" si="1"/>
        <v>0</v>
      </c>
    </row>
    <row r="32" spans="1:5" x14ac:dyDescent="0.25">
      <c r="A32" s="3" t="s">
        <v>57</v>
      </c>
      <c r="B32" s="3">
        <f>SUM(B24:B31)</f>
        <v>14</v>
      </c>
      <c r="C32" s="3"/>
      <c r="D32" s="4"/>
      <c r="E32">
        <f>SUM(E24:E31)</f>
        <v>700000</v>
      </c>
    </row>
    <row r="33" spans="1:5" x14ac:dyDescent="0.25">
      <c r="D33" s="5"/>
      <c r="E33" s="5"/>
    </row>
    <row r="34" spans="1:5" x14ac:dyDescent="0.25">
      <c r="A34" t="s">
        <v>13</v>
      </c>
      <c r="B34" t="s">
        <v>14</v>
      </c>
      <c r="C34" t="s">
        <v>58</v>
      </c>
      <c r="D34" s="5" t="s">
        <v>59</v>
      </c>
      <c r="E34" s="5" t="s">
        <v>60</v>
      </c>
    </row>
    <row r="35" spans="1:5" x14ac:dyDescent="0.25">
      <c r="A35" t="s">
        <v>61</v>
      </c>
      <c r="D35" s="5"/>
      <c r="E35" s="5">
        <f>B6*150000+E32*0.3</f>
        <v>945000</v>
      </c>
    </row>
    <row r="36" spans="1:5" x14ac:dyDescent="0.25">
      <c r="A36" t="s">
        <v>62</v>
      </c>
      <c r="D36" s="5"/>
      <c r="E36" s="5">
        <v>315000</v>
      </c>
    </row>
    <row r="37" spans="1:5" x14ac:dyDescent="0.25">
      <c r="A37" s="3" t="s">
        <v>63</v>
      </c>
      <c r="B37" s="3"/>
      <c r="C37" s="3"/>
      <c r="D37" s="4"/>
      <c r="E37" s="4">
        <f>SUM(E35:E36)</f>
        <v>1260000</v>
      </c>
    </row>
    <row r="38" spans="1:5" x14ac:dyDescent="0.25">
      <c r="D38" s="5"/>
      <c r="E38" s="5"/>
    </row>
    <row r="39" spans="1:5" x14ac:dyDescent="0.25">
      <c r="A39" t="s">
        <v>64</v>
      </c>
      <c r="B39" t="s">
        <v>25</v>
      </c>
      <c r="C39" s="3" t="s">
        <v>26</v>
      </c>
      <c r="D39" t="s">
        <v>65</v>
      </c>
      <c r="E39" t="s">
        <v>66</v>
      </c>
    </row>
    <row r="40" spans="1:5" x14ac:dyDescent="0.25">
      <c r="A40" t="s">
        <v>67</v>
      </c>
      <c r="D40" s="5">
        <v>80000</v>
      </c>
      <c r="E40">
        <f t="shared" ref="E40:E62" si="2">B40*D40</f>
        <v>0</v>
      </c>
    </row>
    <row r="41" spans="1:5" x14ac:dyDescent="0.25">
      <c r="A41" t="s">
        <v>68</v>
      </c>
      <c r="D41" s="5">
        <v>20000</v>
      </c>
      <c r="E41">
        <f t="shared" si="2"/>
        <v>0</v>
      </c>
    </row>
    <row r="42" spans="1:5" x14ac:dyDescent="0.25">
      <c r="A42" t="s">
        <v>69</v>
      </c>
      <c r="D42" s="5">
        <v>10000</v>
      </c>
      <c r="E42">
        <f t="shared" si="2"/>
        <v>0</v>
      </c>
    </row>
    <row r="43" spans="1:5" x14ac:dyDescent="0.25">
      <c r="A43" t="s">
        <v>45</v>
      </c>
      <c r="D43" s="5">
        <v>12000</v>
      </c>
      <c r="E43">
        <f t="shared" si="2"/>
        <v>0</v>
      </c>
    </row>
    <row r="44" spans="1:5" x14ac:dyDescent="0.25">
      <c r="A44" t="s">
        <v>70</v>
      </c>
      <c r="D44" s="5">
        <v>12000</v>
      </c>
      <c r="E44">
        <f t="shared" si="2"/>
        <v>0</v>
      </c>
    </row>
    <row r="45" spans="1:5" x14ac:dyDescent="0.25">
      <c r="A45" t="s">
        <v>71</v>
      </c>
      <c r="D45" s="5">
        <v>570000</v>
      </c>
      <c r="E45">
        <f t="shared" si="2"/>
        <v>0</v>
      </c>
    </row>
    <row r="46" spans="1:5" x14ac:dyDescent="0.25">
      <c r="A46" t="s">
        <v>72</v>
      </c>
      <c r="D46" s="5">
        <v>60000</v>
      </c>
      <c r="E46">
        <f t="shared" si="2"/>
        <v>0</v>
      </c>
    </row>
    <row r="47" spans="1:5" x14ac:dyDescent="0.25">
      <c r="A47" t="s">
        <v>73</v>
      </c>
      <c r="D47" s="5">
        <v>550000</v>
      </c>
      <c r="E47">
        <f t="shared" si="2"/>
        <v>0</v>
      </c>
    </row>
    <row r="48" spans="1:5" x14ac:dyDescent="0.25">
      <c r="A48" t="s">
        <v>74</v>
      </c>
      <c r="D48" s="5">
        <v>60000</v>
      </c>
      <c r="E48">
        <f t="shared" si="2"/>
        <v>0</v>
      </c>
    </row>
    <row r="49" spans="1:5" x14ac:dyDescent="0.25">
      <c r="A49" t="s">
        <v>75</v>
      </c>
      <c r="D49" s="5">
        <v>340000</v>
      </c>
      <c r="E49">
        <f t="shared" si="2"/>
        <v>0</v>
      </c>
    </row>
    <row r="50" spans="1:5" x14ac:dyDescent="0.25">
      <c r="A50" t="s">
        <v>76</v>
      </c>
      <c r="D50" s="5">
        <v>300000</v>
      </c>
      <c r="E50">
        <f t="shared" si="2"/>
        <v>0</v>
      </c>
    </row>
    <row r="51" spans="1:5" x14ac:dyDescent="0.25">
      <c r="A51" t="s">
        <v>77</v>
      </c>
      <c r="D51" s="5">
        <v>120000</v>
      </c>
      <c r="E51">
        <f t="shared" si="2"/>
        <v>0</v>
      </c>
    </row>
    <row r="52" spans="1:5" x14ac:dyDescent="0.25">
      <c r="A52" t="s">
        <v>78</v>
      </c>
      <c r="D52" s="5">
        <v>70000</v>
      </c>
      <c r="E52">
        <f t="shared" si="2"/>
        <v>0</v>
      </c>
    </row>
    <row r="53" spans="1:5" x14ac:dyDescent="0.25">
      <c r="A53" t="s">
        <v>79</v>
      </c>
      <c r="D53" s="5">
        <v>60000</v>
      </c>
      <c r="E53">
        <f t="shared" si="2"/>
        <v>0</v>
      </c>
    </row>
    <row r="54" spans="1:5" x14ac:dyDescent="0.25">
      <c r="D54" s="5"/>
      <c r="E54">
        <f t="shared" si="2"/>
        <v>0</v>
      </c>
    </row>
    <row r="55" spans="1:5" x14ac:dyDescent="0.25">
      <c r="A55" t="s">
        <v>80</v>
      </c>
      <c r="D55" s="5">
        <v>1700000</v>
      </c>
      <c r="E55">
        <f t="shared" si="2"/>
        <v>0</v>
      </c>
    </row>
    <row r="56" spans="1:5" x14ac:dyDescent="0.25">
      <c r="A56" t="s">
        <v>81</v>
      </c>
      <c r="D56" s="5">
        <v>1000000</v>
      </c>
      <c r="E56">
        <f t="shared" si="2"/>
        <v>0</v>
      </c>
    </row>
    <row r="57" spans="1:5" x14ac:dyDescent="0.25">
      <c r="A57" t="s">
        <v>82</v>
      </c>
      <c r="D57" s="5">
        <v>420000</v>
      </c>
      <c r="E57">
        <f t="shared" si="2"/>
        <v>0</v>
      </c>
    </row>
    <row r="58" spans="1:5" x14ac:dyDescent="0.25">
      <c r="A58" t="s">
        <v>83</v>
      </c>
      <c r="D58" s="5">
        <v>500000</v>
      </c>
      <c r="E58">
        <f t="shared" si="2"/>
        <v>0</v>
      </c>
    </row>
    <row r="59" spans="1:5" x14ac:dyDescent="0.25">
      <c r="A59" t="s">
        <v>84</v>
      </c>
      <c r="D59" s="5">
        <v>400000</v>
      </c>
      <c r="E59">
        <f t="shared" si="2"/>
        <v>0</v>
      </c>
    </row>
    <row r="60" spans="1:5" x14ac:dyDescent="0.25">
      <c r="A60" t="s">
        <v>85</v>
      </c>
      <c r="D60" s="5">
        <v>250000</v>
      </c>
      <c r="E60">
        <f t="shared" si="2"/>
        <v>0</v>
      </c>
    </row>
    <row r="61" spans="1:5" x14ac:dyDescent="0.25">
      <c r="A61" t="s">
        <v>86</v>
      </c>
      <c r="D61" s="5">
        <v>900000</v>
      </c>
      <c r="E61">
        <f t="shared" si="2"/>
        <v>0</v>
      </c>
    </row>
    <row r="62" spans="1:5" x14ac:dyDescent="0.25">
      <c r="A62" t="s">
        <v>87</v>
      </c>
      <c r="D62" s="5">
        <v>600000</v>
      </c>
      <c r="E62">
        <f t="shared" si="2"/>
        <v>0</v>
      </c>
    </row>
    <row r="63" spans="1:5" x14ac:dyDescent="0.25">
      <c r="D63" s="5"/>
    </row>
    <row r="64" spans="1:5" x14ac:dyDescent="0.25">
      <c r="E64">
        <f>SUM(E40:E63)</f>
        <v>0</v>
      </c>
    </row>
    <row r="65" spans="1:5" x14ac:dyDescent="0.25">
      <c r="D65" s="5"/>
      <c r="E65" s="5"/>
    </row>
    <row r="66" spans="1:5" x14ac:dyDescent="0.25">
      <c r="A66" s="3" t="s">
        <v>88</v>
      </c>
      <c r="B66" s="7">
        <v>0.3</v>
      </c>
      <c r="C66" s="4">
        <f>(E35+E32+E21+E12+E6)*B66</f>
        <v>1719000</v>
      </c>
      <c r="D66" s="5"/>
      <c r="E66" s="5"/>
    </row>
    <row r="67" spans="1:5" x14ac:dyDescent="0.25">
      <c r="A67" s="3" t="s">
        <v>89</v>
      </c>
      <c r="C67" s="4">
        <f>(E37+E32+E21+E12+E6+C66)</f>
        <v>7764000</v>
      </c>
      <c r="D67" s="5"/>
      <c r="E67" s="5"/>
    </row>
    <row r="68" spans="1:5" x14ac:dyDescent="0.25">
      <c r="A68" s="3" t="s">
        <v>90</v>
      </c>
      <c r="C68" s="4">
        <f>C67+Tabla1[[#Totals],[precio total]]</f>
        <v>7764000</v>
      </c>
      <c r="D68" s="4"/>
      <c r="E68" s="5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C2F2-8B78-4B6A-B6FA-9E59A91A17D3}">
  <dimension ref="A1:B3"/>
  <sheetViews>
    <sheetView workbookViewId="0">
      <selection activeCell="B3" sqref="B3"/>
    </sheetView>
  </sheetViews>
  <sheetFormatPr baseColWidth="10" defaultRowHeight="15" x14ac:dyDescent="0.25"/>
  <cols>
    <col min="1" max="1" width="3.85546875" style="1" customWidth="1"/>
    <col min="2" max="2" width="14.42578125" style="1" bestFit="1" customWidth="1"/>
  </cols>
  <sheetData>
    <row r="1" spans="1:2" x14ac:dyDescent="0.25">
      <c r="B1" s="1" t="s">
        <v>6</v>
      </c>
    </row>
    <row r="2" spans="1:2" ht="270" x14ac:dyDescent="0.25">
      <c r="A2" s="1" t="s">
        <v>3</v>
      </c>
      <c r="B2" s="1" t="s">
        <v>5</v>
      </c>
    </row>
    <row r="3" spans="1:2" ht="30" x14ac:dyDescent="0.25">
      <c r="A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sincronizador</vt:lpstr>
      <vt:lpstr>especificaciones del proyecto</vt:lpstr>
      <vt:lpstr>Hoja2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</dc:creator>
  <cp:lastModifiedBy>javier garcia</cp:lastModifiedBy>
  <dcterms:created xsi:type="dcterms:W3CDTF">2024-05-30T16:41:57Z</dcterms:created>
  <dcterms:modified xsi:type="dcterms:W3CDTF">2024-05-30T22:59:03Z</dcterms:modified>
</cp:coreProperties>
</file>