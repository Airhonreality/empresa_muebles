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Herramientas del servicio\Cotizador\3 cuadros\"/>
    </mc:Choice>
  </mc:AlternateContent>
  <xr:revisionPtr revIDLastSave="0" documentId="13_ncr:1_{1F29C6A5-9F90-445B-A130-AB0E90A00189}" xr6:coauthVersionLast="47" xr6:coauthVersionMax="47" xr10:uidLastSave="{00000000-0000-0000-0000-000000000000}"/>
  <bookViews>
    <workbookView xWindow="14295" yWindow="0" windowWidth="14610" windowHeight="15585" tabRatio="601" xr2:uid="{B66D2878-0DCB-4EE2-A780-3F777B9FEE0E}"/>
  </bookViews>
  <sheets>
    <sheet name="productos" sheetId="2" r:id="rId1"/>
    <sheet name="calculador de modulos" sheetId="8" r:id="rId2"/>
    <sheet name="calculo de operativos" sheetId="7" r:id="rId3"/>
    <sheet name="Hoja2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8" l="1"/>
  <c r="I4" i="8"/>
  <c r="I5" i="8"/>
  <c r="J3" i="8" l="1"/>
  <c r="K3" i="8" s="1"/>
  <c r="J4" i="8"/>
  <c r="J5" i="8"/>
  <c r="A2" i="2"/>
  <c r="A3" i="2"/>
  <c r="A4" i="2"/>
  <c r="A5" i="2"/>
  <c r="A6" i="2"/>
  <c r="A7" i="2"/>
  <c r="A8" i="2"/>
  <c r="A9" i="2"/>
  <c r="A10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J34" i="2"/>
  <c r="K34" i="2" s="1"/>
  <c r="J28" i="2"/>
  <c r="K28" i="2"/>
  <c r="J25" i="2"/>
  <c r="K25" i="2" s="1"/>
  <c r="J26" i="2"/>
  <c r="K26" i="2" s="1"/>
  <c r="J27" i="2"/>
  <c r="K27" i="2" s="1"/>
  <c r="J29" i="2"/>
  <c r="K29" i="2" s="1"/>
  <c r="J30" i="2"/>
  <c r="K30" i="2" s="1"/>
  <c r="J31" i="2"/>
  <c r="K31" i="2" s="1"/>
  <c r="J32" i="2"/>
  <c r="K32" i="2" s="1"/>
  <c r="J33" i="2"/>
  <c r="K33" i="2" s="1"/>
  <c r="J15" i="2"/>
  <c r="K15" i="2" s="1"/>
  <c r="I3" i="2"/>
  <c r="K3" i="2" s="1"/>
  <c r="I4" i="2"/>
  <c r="K4" i="2" s="1"/>
  <c r="I5" i="2"/>
  <c r="K5" i="2" s="1"/>
  <c r="I6" i="2"/>
  <c r="K6" i="2" s="1"/>
  <c r="I7" i="2"/>
  <c r="K7" i="2" s="1"/>
  <c r="I8" i="2"/>
  <c r="K8" i="2" s="1"/>
  <c r="I9" i="2"/>
  <c r="K9" i="2" s="1"/>
  <c r="I10" i="2"/>
  <c r="K10" i="2" s="1"/>
  <c r="I2" i="2"/>
  <c r="K2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B2" i="7"/>
  <c r="B6" i="7" s="1"/>
</calcChain>
</file>

<file path=xl/sharedStrings.xml><?xml version="1.0" encoding="utf-8"?>
<sst xmlns="http://schemas.openxmlformats.org/spreadsheetml/2006/main" count="147" uniqueCount="92">
  <si>
    <t>unidad de medida</t>
  </si>
  <si>
    <t>apariencia</t>
  </si>
  <si>
    <t>puerta de melamina mediana</t>
  </si>
  <si>
    <t>puerta de altobrillo mediana</t>
  </si>
  <si>
    <t>puerta de poliuretano mediana</t>
  </si>
  <si>
    <t>puerta de vidrio mediana</t>
  </si>
  <si>
    <t>puerta de  melamina grande</t>
  </si>
  <si>
    <t>puerta de altobrillo  grande</t>
  </si>
  <si>
    <t>puerta de poliuretano  grande</t>
  </si>
  <si>
    <t>puerta de vidrio  grande</t>
  </si>
  <si>
    <t>lamina melamina 18 244 183 blanca</t>
  </si>
  <si>
    <t>lamina melamina 18 244 183 color</t>
  </si>
  <si>
    <t>item</t>
  </si>
  <si>
    <t>desarrollo</t>
  </si>
  <si>
    <t>valor</t>
  </si>
  <si>
    <t>fondo blanco</t>
  </si>
  <si>
    <t>fondo color</t>
  </si>
  <si>
    <t>X</t>
  </si>
  <si>
    <t>Y</t>
  </si>
  <si>
    <t>Z</t>
  </si>
  <si>
    <t>cm</t>
  </si>
  <si>
    <t>cantidad</t>
  </si>
  <si>
    <t>total</t>
  </si>
  <si>
    <t>costado metalico tech luxe</t>
  </si>
  <si>
    <t>costado metalico clasica</t>
  </si>
  <si>
    <t>Adicional</t>
  </si>
  <si>
    <t>mm</t>
  </si>
  <si>
    <t>Boniut madecentro Sku: HSC020-50 capacidad 30kg</t>
  </si>
  <si>
    <t>Tecnifacil scu   307407-307507 capacidad 50kg</t>
  </si>
  <si>
    <t>Tecnifacil scu 306907-307507 capacidad 43kg</t>
  </si>
  <si>
    <t>cajón bajo metalico tech luxe</t>
  </si>
  <si>
    <t>barra estabilizadora gris antracita</t>
  </si>
  <si>
    <t>Tecnifacil sku HE11500Q 11 HE10022</t>
  </si>
  <si>
    <t>&gt;=100</t>
  </si>
  <si>
    <t>madecentro Sku: HSC207-45</t>
  </si>
  <si>
    <t>Riel oculto cierre lento</t>
  </si>
  <si>
    <t xml:space="preserve">lamina altobrillo blanco </t>
  </si>
  <si>
    <t>tapete para piso cajón impermeable</t>
  </si>
  <si>
    <t>caja ceramica baldocin</t>
  </si>
  <si>
    <t>promedio metro cuadrado</t>
  </si>
  <si>
    <t>Proveedor, dalver</t>
  </si>
  <si>
    <t>mesón negro san gabriel</t>
  </si>
  <si>
    <t>meson blanco con vetas sinterizado</t>
  </si>
  <si>
    <t>transportes</t>
  </si>
  <si>
    <t>transportes venta</t>
  </si>
  <si>
    <t>transportes de produccion</t>
  </si>
  <si>
    <t>acarreo</t>
  </si>
  <si>
    <t>Paso del proyecto por comercial</t>
  </si>
  <si>
    <t>%  sobre total</t>
  </si>
  <si>
    <t>Publicidad</t>
  </si>
  <si>
    <t>Carpinteria</t>
  </si>
  <si>
    <t>consumo energetico</t>
  </si>
  <si>
    <t>area</t>
  </si>
  <si>
    <t>tipo</t>
  </si>
  <si>
    <t>tablero</t>
  </si>
  <si>
    <t>accesorio</t>
  </si>
  <si>
    <t>materia prima</t>
  </si>
  <si>
    <t>mesones</t>
  </si>
  <si>
    <t>mt2</t>
  </si>
  <si>
    <t>gama</t>
  </si>
  <si>
    <t>blum</t>
  </si>
  <si>
    <t>metales</t>
  </si>
  <si>
    <t>acero de alimentos transporfado</t>
  </si>
  <si>
    <t>valor producto</t>
  </si>
  <si>
    <t>valor agregado</t>
  </si>
  <si>
    <t>comentario</t>
  </si>
  <si>
    <t>precio_por_metro_tablero</t>
  </si>
  <si>
    <t>precio_total_atributo</t>
  </si>
  <si>
    <t>codigo</t>
  </si>
  <si>
    <t>herraje</t>
  </si>
  <si>
    <t>puerta de poliuretano especialmediana</t>
  </si>
  <si>
    <t>puerta de poliuretano grande</t>
  </si>
  <si>
    <t>entamborado</t>
  </si>
  <si>
    <t>y</t>
  </si>
  <si>
    <t>x</t>
  </si>
  <si>
    <t>z</t>
  </si>
  <si>
    <t>material</t>
  </si>
  <si>
    <t xml:space="preserve">coco </t>
  </si>
  <si>
    <t>nombre del modulo</t>
  </si>
  <si>
    <t>costo material</t>
  </si>
  <si>
    <t>coco, panel, entamborado</t>
  </si>
  <si>
    <t>medidas</t>
  </si>
  <si>
    <t>calcular en matriz de desarrollo y pegar analogo</t>
  </si>
  <si>
    <t>igual a productos laminados</t>
  </si>
  <si>
    <t>igual a tabla</t>
  </si>
  <si>
    <t>precio material</t>
  </si>
  <si>
    <t>area por modulo</t>
  </si>
  <si>
    <t>total herrajes</t>
  </si>
  <si>
    <t>paneles</t>
  </si>
  <si>
    <t>tambores</t>
  </si>
  <si>
    <t>cocos</t>
  </si>
  <si>
    <t>meson blanco polar y blanco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</si>
</sst>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0" fontId="3" fillId="0" borderId="0" xfId="0" applyFont="1"/>
    <xf numFmtId="44" fontId="0" fillId="0" borderId="0" xfId="0" applyNumberFormat="1"/>
    <xf numFmtId="9" fontId="0" fillId="0" borderId="0" xfId="2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4" fontId="4" fillId="0" borderId="0" xfId="1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1" fontId="0" fillId="0" borderId="0" xfId="1" applyNumberFormat="1" applyFont="1"/>
    <xf numFmtId="1" fontId="0" fillId="0" borderId="0" xfId="0" applyNumberFormat="1"/>
    <xf numFmtId="0" fontId="0" fillId="0" borderId="0" xfId="0" applyAlignment="1">
      <alignment vertical="center" wrapText="1"/>
    </xf>
    <xf numFmtId="49" fontId="0" fillId="0" borderId="0" xfId="1" applyNumberFormat="1" applyFont="1"/>
  </cellXfs>
  <cellStyles count="3">
    <cellStyle name="Moneda" xfId="1" builtinId="4"/>
    <cellStyle name="Normal" xfId="0" builtinId="0"/>
    <cellStyle name="Porcentaje" xfId="2" builtinId="5"/>
  </cellStyles>
  <dxfs count="26">
    <dxf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4" formatCode="_-&quot;$&quot;\ * #,##0.00_-;\-&quot;$&quot;\ * #,##0.00_-;_-&quot;$&quot;\ 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\ * #,##0.00_-;\-&quot;$&quot;\ * #,##0.0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\ * #,##0.00_-;\-&quot;$&quot;\ * #,##0.0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859BD6-8430-4CDB-A742-C8498E886310}" name="productos_laminares" displayName="productos_laminares" ref="A1:L11" totalsRowShown="0" headerRowDxfId="23">
  <autoFilter ref="A1:L11" xr:uid="{24859BD6-8430-4CDB-A742-C8498E886310}"/>
  <tableColumns count="12">
    <tableColumn id="12" xr3:uid="{BAEB8F14-A716-4A26-828F-A23F94C2CA96}" name="codigo" dataDxfId="22" dataCellStyle="Moneda">
      <calculatedColumnFormula>"lami-"  &amp; ROW() &amp;"-"&amp; LEFT(B2,5)</calculatedColumnFormula>
    </tableColumn>
    <tableColumn id="1" xr3:uid="{9D8EDB33-DACE-4F6C-9920-254DBA268AB2}" name="tipo" dataDxfId="21" dataCellStyle="Moneda"/>
    <tableColumn id="2" xr3:uid="{00EA58EF-C341-415B-B1D1-16434833FFFB}" name="item" dataDxfId="20" dataCellStyle="Moneda"/>
    <tableColumn id="3" xr3:uid="{DA9BA781-3CD7-403F-BBA3-D0F5E5267CFA}" name="Y" dataDxfId="19"/>
    <tableColumn id="4" xr3:uid="{CCE8530A-6CB8-4A03-8B52-413D0D5AE05C}" name="X" dataDxfId="18"/>
    <tableColumn id="5" xr3:uid="{779E2F24-6287-4003-8A52-FFCB3E035FED}" name="Z" dataDxfId="17"/>
    <tableColumn id="7" xr3:uid="{8F8B0E3B-FF14-4413-ADCD-0863A94F988E}" name="unidad de medida" dataDxfId="16"/>
    <tableColumn id="10" xr3:uid="{EC66F5D5-17E9-47F4-AA0B-C5BD697DD2C7}" name="gama" dataDxfId="15"/>
    <tableColumn id="6" xr3:uid="{56E60867-5D95-470A-AACA-0BA4913DFDD9}" name="area" dataDxfId="14">
      <calculatedColumnFormula>D2*E2*0.000001</calculatedColumnFormula>
    </tableColumn>
    <tableColumn id="8" xr3:uid="{E8128F82-B6DA-412E-911E-86B74C9ABBCB}" name="valor" dataDxfId="13"/>
    <tableColumn id="9" xr3:uid="{F34A0815-D25E-4291-893A-F0210615F967}" name="precio_por_metro_tablero" dataDxfId="12">
      <calculatedColumnFormula>(J2/I2)*117%</calculatedColumnFormula>
    </tableColumn>
    <tableColumn id="11" xr3:uid="{41BDD94D-EFF8-472E-9849-DF632D2C1F7F}" name="Adiciona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CB08A7-E8EF-4D0D-8356-620A26BD0F54}" name="atributos" displayName="atributos" ref="A14:L34" totalsRowShown="0" headerRowDxfId="11">
  <autoFilter ref="A14:L34" xr:uid="{70CB08A7-E8EF-4D0D-8356-620A26BD0F54}"/>
  <tableColumns count="12">
    <tableColumn id="12" xr3:uid="{B24C0073-9DA0-496A-AAB0-BF9CF27635FC}" name="codigo" dataDxfId="10" dataCellStyle="Moneda">
      <calculatedColumnFormula>"atri-"  &amp; ROW() &amp;"-"&amp; LEFT(B15,5)</calculatedColumnFormula>
    </tableColumn>
    <tableColumn id="1" xr3:uid="{17C6FA06-526F-463C-B656-6D866C0C5023}" name="tipo" dataDxfId="9" dataCellStyle="Moneda"/>
    <tableColumn id="2" xr3:uid="{EEE8E0B9-12DB-4CF4-99C7-1C2D13938CD3}" name="item" dataDxfId="8" dataCellStyle="Moneda"/>
    <tableColumn id="3" xr3:uid="{FBD57D70-3160-40FA-91DF-F1830B498D9E}" name="Y" dataDxfId="7"/>
    <tableColumn id="4" xr3:uid="{AA44285D-FDE5-4B36-89E0-0D288065131E}" name="X" dataDxfId="6"/>
    <tableColumn id="5" xr3:uid="{E0D4C564-8A5F-460F-8A0D-800FFAA532D9}" name="Z" dataDxfId="5"/>
    <tableColumn id="7" xr3:uid="{20AC8A37-E526-41B5-A078-23B1E9D8CB3F}" name="unidad de medida" dataDxfId="4"/>
    <tableColumn id="6" xr3:uid="{6D33D1C4-D20E-443C-8CC0-BBE147FEAD04}" name="gama" dataDxfId="3"/>
    <tableColumn id="8" xr3:uid="{5D41FC61-8229-405B-8A36-1FD06877259F}" name="valor producto" dataDxfId="2"/>
    <tableColumn id="9" xr3:uid="{72ECFFBC-8584-4D21-9FC9-B7C803A76DA3}" name="valor agregado" dataDxfId="1" dataCellStyle="Moneda">
      <calculatedColumnFormula>I15*0.3</calculatedColumnFormula>
    </tableColumn>
    <tableColumn id="10" xr3:uid="{D3CCDCE3-8703-4A8E-A636-C392DA568A59}" name="precio_total_atributo" dataDxfId="0">
      <calculatedColumnFormula>atributos[[#This Row],[valor agregado]]+atributos[[#This Row],[valor producto]]</calculatedColumnFormula>
    </tableColumn>
    <tableColumn id="11" xr3:uid="{6098913C-F733-4520-8BAD-A6BF4BE8D449}" name="comentari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AD5EEF-6721-4132-B4A8-01BAD34151A7}" name="listado_modulos" displayName="listado_modulos" ref="A2:K5" totalsRowShown="0">
  <autoFilter ref="A2:K5" xr:uid="{82AD5EEF-6721-4132-B4A8-01BAD34151A7}"/>
  <tableColumns count="11">
    <tableColumn id="8" xr3:uid="{6BD749AF-CB5F-49F7-8E84-1473F0EFF317}" name="nombre del modulo"/>
    <tableColumn id="9" xr3:uid="{7B0BCFA6-8EF0-402C-B0C8-A361E8FA737E}" name="tipo"/>
    <tableColumn id="10" xr3:uid="{C53AB661-0071-4ADD-9C56-6E05077BFEF0}" name="y"/>
    <tableColumn id="11" xr3:uid="{81277C85-EBD4-42FD-BAAB-E3007C6A9A79}" name="x"/>
    <tableColumn id="12" xr3:uid="{E500E461-E3D7-44F0-A3A6-CC7D7BA3E1DE}" name="z"/>
    <tableColumn id="2" xr3:uid="{42AA4487-F6A7-4FA1-B376-BA9B61E89AF7}" name="cantidad"/>
    <tableColumn id="13" xr3:uid="{BE803F83-476C-497A-A7E3-1BA6F3B66022}" name="area por modulo"/>
    <tableColumn id="14" xr3:uid="{213C6059-D054-4ECC-9514-C9C47D1CA57A}" name="material"/>
    <tableColumn id="1" xr3:uid="{0F80FBB0-184E-4BE7-A20C-FF97AE87F38D}" name="costo material" dataDxfId="25">
      <calculatedColumnFormula>productos!K2</calculatedColumnFormula>
    </tableColumn>
    <tableColumn id="3" xr3:uid="{A9202966-ACD6-49AB-ABC0-6ED78CB6F9BF}" name="precio material" dataDxfId="24">
      <calculatedColumnFormula>listado_modulos[[#This Row],[cantidad]]*listado_modulos[[#This Row],[area por modulo]]*listado_modulos[[#This Row],[costo material]]</calculatedColumnFormula>
    </tableColumn>
    <tableColumn id="15" xr3:uid="{4B2154A2-81E5-428F-8E0A-6813AB264371}" name="total herraj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88EA-7877-46A7-AE0C-7E5EF3048B19}">
  <dimension ref="A1:Q48"/>
  <sheetViews>
    <sheetView tabSelected="1" zoomScale="115" zoomScaleNormal="115" workbookViewId="0">
      <selection activeCell="G2" sqref="G2"/>
    </sheetView>
  </sheetViews>
  <sheetFormatPr baseColWidth="10" defaultRowHeight="15" x14ac:dyDescent="0.25"/>
  <cols>
    <col min="1" max="1" width="13.5703125" bestFit="1" customWidth="1"/>
    <col min="2" max="2" width="15" bestFit="1" customWidth="1"/>
    <col min="3" max="3" width="34.85546875" style="5" bestFit="1" customWidth="1"/>
    <col min="4" max="4" width="8.140625" style="5" bestFit="1" customWidth="1"/>
    <col min="5" max="5" width="7" style="5" bestFit="1" customWidth="1"/>
    <col min="6" max="6" width="9.42578125" style="5" bestFit="1" customWidth="1"/>
    <col min="7" max="7" width="21.7109375" style="5" bestFit="1" customWidth="1"/>
    <col min="8" max="8" width="10.28515625" bestFit="1" customWidth="1"/>
    <col min="9" max="9" width="33.140625" customWidth="1"/>
    <col min="10" max="10" width="16.28515625" bestFit="1" customWidth="1"/>
    <col min="11" max="11" width="26.7109375" bestFit="1" customWidth="1"/>
    <col min="12" max="12" width="42.28515625" bestFit="1" customWidth="1"/>
    <col min="13" max="13" width="14.85546875" customWidth="1"/>
    <col min="14" max="14" width="16.42578125" customWidth="1"/>
    <col min="16" max="16" width="26.140625" bestFit="1" customWidth="1"/>
    <col min="17" max="17" width="13.85546875" bestFit="1" customWidth="1"/>
  </cols>
  <sheetData>
    <row r="1" spans="1:17" x14ac:dyDescent="0.25">
      <c r="A1" s="11" t="s">
        <v>68</v>
      </c>
      <c r="B1" t="s">
        <v>53</v>
      </c>
      <c r="C1" s="10" t="s">
        <v>12</v>
      </c>
      <c r="D1" s="11" t="s">
        <v>18</v>
      </c>
      <c r="E1" s="11" t="s">
        <v>17</v>
      </c>
      <c r="F1" s="11" t="s">
        <v>19</v>
      </c>
      <c r="G1" s="11" t="s">
        <v>0</v>
      </c>
      <c r="H1" s="11" t="s">
        <v>59</v>
      </c>
      <c r="I1" s="11" t="s">
        <v>52</v>
      </c>
      <c r="J1" s="10" t="s">
        <v>14</v>
      </c>
      <c r="K1" s="10" t="s">
        <v>66</v>
      </c>
      <c r="L1" s="11" t="s">
        <v>25</v>
      </c>
    </row>
    <row r="2" spans="1:17" s="1" customFormat="1" x14ac:dyDescent="0.25">
      <c r="A2" s="15" t="str">
        <f>"lami-"  &amp; ROW() &amp;"-"&amp; LEFT(B2,5)</f>
        <v>lami-2-table</v>
      </c>
      <c r="B2" s="1" t="s">
        <v>54</v>
      </c>
      <c r="C2" t="s">
        <v>10</v>
      </c>
      <c r="D2" s="5">
        <v>2440</v>
      </c>
      <c r="E2" s="5">
        <v>1830</v>
      </c>
      <c r="F2" s="5">
        <v>18</v>
      </c>
      <c r="G2" s="5" t="s">
        <v>58</v>
      </c>
      <c r="H2" s="12">
        <v>1</v>
      </c>
      <c r="I2" s="5">
        <f t="shared" ref="I2:I10" si="0">D2*E2*0.000001</f>
        <v>4.4651999999999994</v>
      </c>
      <c r="J2" s="1">
        <v>325000</v>
      </c>
      <c r="K2" s="1">
        <f t="shared" ref="K2:K10" si="1">(J2/I2)*117%</f>
        <v>85158.559527008882</v>
      </c>
    </row>
    <row r="3" spans="1:17" x14ac:dyDescent="0.25">
      <c r="A3" s="15" t="str">
        <f t="shared" ref="A3:A10" si="2">"lami-"  &amp; ROW() &amp;"-"&amp; LEFT(B3,5)</f>
        <v>lami-3-table</v>
      </c>
      <c r="B3" s="1" t="s">
        <v>54</v>
      </c>
      <c r="C3" t="s">
        <v>11</v>
      </c>
      <c r="D3" s="5">
        <v>2440</v>
      </c>
      <c r="E3" s="5">
        <v>1830</v>
      </c>
      <c r="F3" s="5">
        <v>18</v>
      </c>
      <c r="G3" s="5" t="s">
        <v>58</v>
      </c>
      <c r="H3" s="13">
        <v>1</v>
      </c>
      <c r="I3" s="5">
        <f t="shared" si="0"/>
        <v>4.4651999999999994</v>
      </c>
      <c r="J3" s="1">
        <v>350000</v>
      </c>
      <c r="K3" s="1">
        <f t="shared" si="1"/>
        <v>91709.217952163395</v>
      </c>
      <c r="Q3" s="1"/>
    </row>
    <row r="4" spans="1:17" x14ac:dyDescent="0.25">
      <c r="A4" s="15" t="str">
        <f t="shared" si="2"/>
        <v>lami-4-table</v>
      </c>
      <c r="B4" s="1" t="s">
        <v>54</v>
      </c>
      <c r="C4" t="s">
        <v>36</v>
      </c>
      <c r="D4" s="5">
        <v>2440</v>
      </c>
      <c r="E4" s="5">
        <v>1220</v>
      </c>
      <c r="F4" s="5">
        <v>18</v>
      </c>
      <c r="G4" s="5" t="s">
        <v>58</v>
      </c>
      <c r="H4" s="13">
        <v>2</v>
      </c>
      <c r="I4" s="5">
        <f t="shared" si="0"/>
        <v>2.9767999999999999</v>
      </c>
      <c r="J4" s="1">
        <v>660000</v>
      </c>
      <c r="K4" s="1">
        <f t="shared" si="1"/>
        <v>259406.07363611931</v>
      </c>
      <c r="Q4" s="1"/>
    </row>
    <row r="5" spans="1:17" x14ac:dyDescent="0.25">
      <c r="A5" s="15" t="str">
        <f t="shared" si="2"/>
        <v>lami-5-table</v>
      </c>
      <c r="B5" s="1" t="s">
        <v>54</v>
      </c>
      <c r="C5" t="s">
        <v>15</v>
      </c>
      <c r="D5" s="5">
        <v>2440</v>
      </c>
      <c r="E5" s="5">
        <v>1830</v>
      </c>
      <c r="F5" s="5">
        <v>6</v>
      </c>
      <c r="G5" s="5" t="s">
        <v>58</v>
      </c>
      <c r="H5" s="13">
        <v>1</v>
      </c>
      <c r="I5" s="5">
        <f t="shared" si="0"/>
        <v>4.4651999999999994</v>
      </c>
      <c r="J5" s="3">
        <v>180000</v>
      </c>
      <c r="K5" s="1">
        <f t="shared" si="1"/>
        <v>47164.740661112606</v>
      </c>
    </row>
    <row r="6" spans="1:17" x14ac:dyDescent="0.25">
      <c r="A6" s="15" t="str">
        <f t="shared" si="2"/>
        <v>lami-6-table</v>
      </c>
      <c r="B6" s="1" t="s">
        <v>54</v>
      </c>
      <c r="C6" t="s">
        <v>16</v>
      </c>
      <c r="D6" s="5">
        <v>2440</v>
      </c>
      <c r="E6" s="5">
        <v>1830</v>
      </c>
      <c r="F6" s="5">
        <v>6</v>
      </c>
      <c r="G6" s="5" t="s">
        <v>58</v>
      </c>
      <c r="H6" s="13">
        <v>1</v>
      </c>
      <c r="I6" s="5">
        <f t="shared" si="0"/>
        <v>4.4651999999999994</v>
      </c>
      <c r="J6" s="3">
        <v>200000</v>
      </c>
      <c r="K6" s="1">
        <f t="shared" si="1"/>
        <v>52405.267401236226</v>
      </c>
    </row>
    <row r="7" spans="1:17" x14ac:dyDescent="0.25">
      <c r="A7" s="15" t="str">
        <f t="shared" si="2"/>
        <v>lami-7-meson</v>
      </c>
      <c r="B7" s="1" t="s">
        <v>57</v>
      </c>
      <c r="C7" s="1" t="s">
        <v>91</v>
      </c>
      <c r="D7" s="5">
        <v>600</v>
      </c>
      <c r="E7" s="5">
        <v>100</v>
      </c>
      <c r="F7" s="5">
        <v>15</v>
      </c>
      <c r="G7" s="5" t="s">
        <v>58</v>
      </c>
      <c r="H7" s="13">
        <v>2</v>
      </c>
      <c r="I7" s="5">
        <f t="shared" si="0"/>
        <v>0.06</v>
      </c>
      <c r="J7" s="3">
        <v>500000</v>
      </c>
      <c r="K7" s="1">
        <f t="shared" si="1"/>
        <v>9750000</v>
      </c>
      <c r="L7" t="s">
        <v>40</v>
      </c>
    </row>
    <row r="8" spans="1:17" x14ac:dyDescent="0.25">
      <c r="A8" s="15" t="str">
        <f t="shared" si="2"/>
        <v>lami-8-meson</v>
      </c>
      <c r="B8" s="1" t="s">
        <v>57</v>
      </c>
      <c r="C8" s="1" t="s">
        <v>41</v>
      </c>
      <c r="D8" s="5">
        <v>600</v>
      </c>
      <c r="E8" s="5">
        <v>100</v>
      </c>
      <c r="F8" s="5">
        <v>15</v>
      </c>
      <c r="G8" s="5" t="s">
        <v>58</v>
      </c>
      <c r="H8" s="13">
        <v>2</v>
      </c>
      <c r="I8" s="5">
        <f t="shared" si="0"/>
        <v>0.06</v>
      </c>
      <c r="J8" s="3">
        <v>600000</v>
      </c>
      <c r="K8" s="1">
        <f t="shared" si="1"/>
        <v>11700000</v>
      </c>
      <c r="L8" t="s">
        <v>40</v>
      </c>
    </row>
    <row r="9" spans="1:17" x14ac:dyDescent="0.25">
      <c r="A9" s="15" t="str">
        <f t="shared" si="2"/>
        <v>lami-9-meson</v>
      </c>
      <c r="B9" s="1" t="s">
        <v>57</v>
      </c>
      <c r="C9" s="1" t="s">
        <v>42</v>
      </c>
      <c r="D9" s="5">
        <v>600</v>
      </c>
      <c r="E9" s="5">
        <v>100</v>
      </c>
      <c r="F9" s="5">
        <v>15</v>
      </c>
      <c r="G9" s="5" t="s">
        <v>58</v>
      </c>
      <c r="H9" s="13">
        <v>3</v>
      </c>
      <c r="I9" s="5">
        <f t="shared" si="0"/>
        <v>0.06</v>
      </c>
      <c r="J9" s="3">
        <v>950000</v>
      </c>
      <c r="K9" s="1">
        <f t="shared" si="1"/>
        <v>18525000</v>
      </c>
      <c r="L9" t="s">
        <v>40</v>
      </c>
    </row>
    <row r="10" spans="1:17" x14ac:dyDescent="0.25">
      <c r="A10" s="15" t="str">
        <f t="shared" si="2"/>
        <v>lami-10-metal</v>
      </c>
      <c r="B10" s="1" t="s">
        <v>61</v>
      </c>
      <c r="C10" s="1" t="s">
        <v>62</v>
      </c>
      <c r="D10" s="5">
        <v>800</v>
      </c>
      <c r="E10" s="5">
        <v>900</v>
      </c>
      <c r="F10" s="5">
        <v>3</v>
      </c>
      <c r="G10" s="5" t="s">
        <v>58</v>
      </c>
      <c r="H10" s="13">
        <v>3</v>
      </c>
      <c r="I10" s="5">
        <f t="shared" si="0"/>
        <v>0.72</v>
      </c>
      <c r="J10" s="3">
        <v>450000</v>
      </c>
      <c r="K10" s="1">
        <f t="shared" si="1"/>
        <v>731250</v>
      </c>
      <c r="L10" t="s">
        <v>40</v>
      </c>
    </row>
    <row r="11" spans="1:17" x14ac:dyDescent="0.25">
      <c r="A11" s="1"/>
      <c r="B11" s="1"/>
      <c r="C11" s="1"/>
      <c r="H11" s="13"/>
      <c r="I11" s="5"/>
      <c r="J11" s="3"/>
      <c r="K11" s="1"/>
    </row>
    <row r="14" spans="1:17" x14ac:dyDescent="0.25">
      <c r="A14" s="11" t="s">
        <v>68</v>
      </c>
      <c r="B14" t="s">
        <v>53</v>
      </c>
      <c r="C14" s="10" t="s">
        <v>12</v>
      </c>
      <c r="D14" s="11" t="s">
        <v>18</v>
      </c>
      <c r="E14" s="11" t="s">
        <v>17</v>
      </c>
      <c r="F14" s="11" t="s">
        <v>19</v>
      </c>
      <c r="G14" s="11" t="s">
        <v>0</v>
      </c>
      <c r="H14" s="11" t="s">
        <v>59</v>
      </c>
      <c r="I14" s="10" t="s">
        <v>63</v>
      </c>
      <c r="J14" s="10" t="s">
        <v>64</v>
      </c>
      <c r="K14" s="11" t="s">
        <v>67</v>
      </c>
      <c r="L14" s="11" t="s">
        <v>65</v>
      </c>
    </row>
    <row r="15" spans="1:17" x14ac:dyDescent="0.25">
      <c r="A15" s="1" t="str">
        <f t="shared" ref="A15:A34" si="3">"atri-"  &amp; ROW() &amp;"-"&amp; LEFT(B15,5)</f>
        <v>atri-15-herra</v>
      </c>
      <c r="B15" s="1" t="s">
        <v>69</v>
      </c>
      <c r="C15" s="1" t="s">
        <v>23</v>
      </c>
      <c r="D15" s="5">
        <v>90</v>
      </c>
      <c r="F15" s="5">
        <v>500</v>
      </c>
      <c r="G15" s="5" t="s">
        <v>26</v>
      </c>
      <c r="H15" s="5">
        <v>3</v>
      </c>
      <c r="I15" s="1">
        <v>238000</v>
      </c>
      <c r="J15" s="1">
        <f>I15*0.3</f>
        <v>71400</v>
      </c>
      <c r="K15" s="3">
        <f>atributos[[#This Row],[valor agregado]]+atributos[[#This Row],[valor producto]]</f>
        <v>309400</v>
      </c>
      <c r="L15" t="s">
        <v>60</v>
      </c>
    </row>
    <row r="16" spans="1:17" x14ac:dyDescent="0.25">
      <c r="A16" s="1" t="str">
        <f t="shared" si="3"/>
        <v>atri-16-herra</v>
      </c>
      <c r="B16" s="1" t="s">
        <v>69</v>
      </c>
      <c r="C16" s="1" t="s">
        <v>23</v>
      </c>
      <c r="D16" s="5">
        <v>130</v>
      </c>
      <c r="F16" s="5">
        <v>500</v>
      </c>
      <c r="G16" s="5" t="s">
        <v>26</v>
      </c>
      <c r="H16" s="5">
        <v>3</v>
      </c>
      <c r="I16" s="1">
        <v>262000</v>
      </c>
      <c r="J16" s="1">
        <f t="shared" ref="J16:J24" si="4">I16*0.3</f>
        <v>78600</v>
      </c>
      <c r="K16" s="3">
        <f>atributos[[#This Row],[valor agregado]]+atributos[[#This Row],[valor producto]]</f>
        <v>340600</v>
      </c>
      <c r="L16" t="s">
        <v>29</v>
      </c>
    </row>
    <row r="17" spans="1:14" x14ac:dyDescent="0.25">
      <c r="A17" s="1" t="str">
        <f t="shared" si="3"/>
        <v>atri-17-herra</v>
      </c>
      <c r="B17" s="1" t="s">
        <v>69</v>
      </c>
      <c r="C17" s="1" t="s">
        <v>23</v>
      </c>
      <c r="D17" s="5">
        <v>180</v>
      </c>
      <c r="F17" s="5">
        <v>500</v>
      </c>
      <c r="G17" s="5" t="s">
        <v>26</v>
      </c>
      <c r="H17" s="5">
        <v>3</v>
      </c>
      <c r="I17" s="3">
        <v>286000</v>
      </c>
      <c r="J17" s="1">
        <f t="shared" si="4"/>
        <v>85800</v>
      </c>
      <c r="K17" s="3">
        <f>atributos[[#This Row],[valor agregado]]+atributos[[#This Row],[valor producto]]</f>
        <v>371800</v>
      </c>
      <c r="L17" t="s">
        <v>28</v>
      </c>
    </row>
    <row r="18" spans="1:14" ht="30" x14ac:dyDescent="0.25">
      <c r="A18" s="1" t="str">
        <f t="shared" si="3"/>
        <v>atri-18-herra</v>
      </c>
      <c r="B18" s="1" t="s">
        <v>69</v>
      </c>
      <c r="C18" s="1" t="s">
        <v>24</v>
      </c>
      <c r="D18" s="5">
        <v>63</v>
      </c>
      <c r="F18" s="5">
        <v>500</v>
      </c>
      <c r="G18" s="5" t="s">
        <v>26</v>
      </c>
      <c r="H18" s="5">
        <v>2</v>
      </c>
      <c r="I18" s="3">
        <v>45000</v>
      </c>
      <c r="J18" s="1">
        <f t="shared" si="4"/>
        <v>13500</v>
      </c>
      <c r="K18" s="3">
        <f>atributos[[#This Row],[valor agregado]]+atributos[[#This Row],[valor producto]]</f>
        <v>58500</v>
      </c>
      <c r="L18" s="8" t="s">
        <v>27</v>
      </c>
    </row>
    <row r="19" spans="1:14" ht="27.75" customHeight="1" x14ac:dyDescent="0.25">
      <c r="A19" s="1" t="str">
        <f t="shared" si="3"/>
        <v>atri-19-herra</v>
      </c>
      <c r="B19" s="1" t="s">
        <v>69</v>
      </c>
      <c r="C19" s="1" t="s">
        <v>24</v>
      </c>
      <c r="D19" s="5">
        <v>15</v>
      </c>
      <c r="F19" s="5">
        <v>500</v>
      </c>
      <c r="G19" s="5" t="s">
        <v>26</v>
      </c>
      <c r="H19" s="5">
        <v>2</v>
      </c>
      <c r="I19" s="3">
        <v>75000</v>
      </c>
      <c r="J19" s="1">
        <f t="shared" si="4"/>
        <v>22500</v>
      </c>
      <c r="K19" s="3">
        <f>atributos[[#This Row],[valor agregado]]+atributos[[#This Row],[valor producto]]</f>
        <v>97500</v>
      </c>
      <c r="L19" s="8" t="s">
        <v>27</v>
      </c>
    </row>
    <row r="20" spans="1:14" x14ac:dyDescent="0.25">
      <c r="A20" s="1" t="str">
        <f t="shared" si="3"/>
        <v>atri-20-herra</v>
      </c>
      <c r="B20" s="1" t="s">
        <v>69</v>
      </c>
      <c r="C20" s="1" t="s">
        <v>30</v>
      </c>
      <c r="D20" s="5">
        <v>88</v>
      </c>
      <c r="E20" s="5" t="s">
        <v>33</v>
      </c>
      <c r="F20" s="5">
        <v>500</v>
      </c>
      <c r="G20" s="5" t="s">
        <v>26</v>
      </c>
      <c r="H20" s="5">
        <v>2</v>
      </c>
      <c r="I20" s="3">
        <v>185000</v>
      </c>
      <c r="J20" s="1">
        <f t="shared" si="4"/>
        <v>55500</v>
      </c>
      <c r="K20" s="3">
        <f>atributos[[#This Row],[valor agregado]]+atributos[[#This Row],[valor producto]]</f>
        <v>240500</v>
      </c>
      <c r="L20" t="s">
        <v>32</v>
      </c>
    </row>
    <row r="21" spans="1:14" x14ac:dyDescent="0.25">
      <c r="A21" s="1" t="str">
        <f t="shared" si="3"/>
        <v>atri-21-herra</v>
      </c>
      <c r="B21" s="1" t="s">
        <v>69</v>
      </c>
      <c r="C21" s="1" t="s">
        <v>31</v>
      </c>
      <c r="F21" s="5">
        <v>450</v>
      </c>
      <c r="G21" s="5" t="s">
        <v>26</v>
      </c>
      <c r="H21" s="5">
        <v>2</v>
      </c>
      <c r="I21" s="3">
        <v>22000</v>
      </c>
      <c r="J21" s="1">
        <f t="shared" si="4"/>
        <v>6600</v>
      </c>
      <c r="K21" s="3">
        <f>atributos[[#This Row],[valor agregado]]+atributos[[#This Row],[valor producto]]</f>
        <v>28600</v>
      </c>
      <c r="L21" t="s">
        <v>34</v>
      </c>
    </row>
    <row r="22" spans="1:14" x14ac:dyDescent="0.25">
      <c r="A22" s="1" t="str">
        <f t="shared" si="3"/>
        <v>atri-22-herra</v>
      </c>
      <c r="B22" s="1" t="s">
        <v>69</v>
      </c>
      <c r="C22" s="1" t="s">
        <v>35</v>
      </c>
      <c r="H22" s="5">
        <v>1</v>
      </c>
      <c r="I22" s="3">
        <v>60000</v>
      </c>
      <c r="J22" s="1">
        <f t="shared" si="4"/>
        <v>18000</v>
      </c>
      <c r="K22" s="3">
        <f>atributos[[#This Row],[valor agregado]]+atributos[[#This Row],[valor producto]]</f>
        <v>78000</v>
      </c>
    </row>
    <row r="23" spans="1:14" x14ac:dyDescent="0.25">
      <c r="A23" s="1" t="str">
        <f t="shared" si="3"/>
        <v>atri-23-acces</v>
      </c>
      <c r="B23" s="1" t="s">
        <v>55</v>
      </c>
      <c r="C23" s="1" t="s">
        <v>37</v>
      </c>
      <c r="D23" s="5">
        <v>50</v>
      </c>
      <c r="E23" s="5">
        <v>50</v>
      </c>
      <c r="F23" s="5">
        <v>50</v>
      </c>
      <c r="G23" s="5" t="s">
        <v>20</v>
      </c>
      <c r="H23" s="5">
        <v>1</v>
      </c>
      <c r="I23" s="3">
        <v>10000</v>
      </c>
      <c r="J23" s="1">
        <f t="shared" si="4"/>
        <v>3000</v>
      </c>
      <c r="K23" s="3">
        <f>atributos[[#This Row],[valor agregado]]+atributos[[#This Row],[valor producto]]</f>
        <v>13000</v>
      </c>
    </row>
    <row r="24" spans="1:14" x14ac:dyDescent="0.25">
      <c r="A24" s="1" t="str">
        <f t="shared" si="3"/>
        <v>atri-24-mater</v>
      </c>
      <c r="B24" s="1" t="s">
        <v>56</v>
      </c>
      <c r="C24" s="1" t="s">
        <v>38</v>
      </c>
      <c r="D24" s="5">
        <v>100</v>
      </c>
      <c r="E24" s="5">
        <v>100</v>
      </c>
      <c r="F24" s="5">
        <v>0.8</v>
      </c>
      <c r="G24" s="5" t="s">
        <v>20</v>
      </c>
      <c r="H24" s="5">
        <v>1</v>
      </c>
      <c r="I24" s="3">
        <v>70000</v>
      </c>
      <c r="J24" s="1">
        <f t="shared" si="4"/>
        <v>21000</v>
      </c>
      <c r="K24" s="3">
        <f>atributos[[#This Row],[valor agregado]]+atributos[[#This Row],[valor producto]]</f>
        <v>91000</v>
      </c>
      <c r="L24" t="s">
        <v>39</v>
      </c>
    </row>
    <row r="25" spans="1:14" x14ac:dyDescent="0.25">
      <c r="A25" s="1" t="str">
        <f t="shared" si="3"/>
        <v>atri-25-apari</v>
      </c>
      <c r="B25" s="1" t="s">
        <v>1</v>
      </c>
      <c r="C25" s="1" t="s">
        <v>2</v>
      </c>
      <c r="D25" s="5">
        <v>800</v>
      </c>
      <c r="E25" s="5">
        <v>400</v>
      </c>
      <c r="F25" s="5">
        <v>18</v>
      </c>
      <c r="G25" s="5" t="s">
        <v>26</v>
      </c>
      <c r="H25" s="5">
        <v>1</v>
      </c>
      <c r="I25" s="9">
        <v>50000</v>
      </c>
      <c r="J25" s="1">
        <f t="shared" ref="J25:J33" si="5">I25*0.3</f>
        <v>15000</v>
      </c>
      <c r="K25" s="3">
        <f>atributos[[#This Row],[valor agregado]]+atributos[[#This Row],[valor producto]]</f>
        <v>65000</v>
      </c>
    </row>
    <row r="26" spans="1:14" x14ac:dyDescent="0.25">
      <c r="A26" s="1" t="str">
        <f t="shared" si="3"/>
        <v>atri-26-apari</v>
      </c>
      <c r="B26" s="1" t="s">
        <v>1</v>
      </c>
      <c r="C26" s="1" t="s">
        <v>3</v>
      </c>
      <c r="D26" s="5">
        <v>800</v>
      </c>
      <c r="E26" s="5">
        <v>400</v>
      </c>
      <c r="F26" s="5">
        <v>18</v>
      </c>
      <c r="H26" s="5">
        <v>2</v>
      </c>
      <c r="I26" s="9">
        <v>140000</v>
      </c>
      <c r="J26" s="1">
        <f t="shared" si="5"/>
        <v>42000</v>
      </c>
      <c r="K26" s="3">
        <f>atributos[[#This Row],[valor agregado]]+atributos[[#This Row],[valor producto]]</f>
        <v>182000</v>
      </c>
    </row>
    <row r="27" spans="1:14" x14ac:dyDescent="0.25">
      <c r="A27" s="1" t="str">
        <f t="shared" si="3"/>
        <v>atri-27-apari</v>
      </c>
      <c r="B27" s="1" t="s">
        <v>1</v>
      </c>
      <c r="C27" s="1" t="s">
        <v>4</v>
      </c>
      <c r="D27" s="5">
        <v>800</v>
      </c>
      <c r="E27" s="5">
        <v>400</v>
      </c>
      <c r="F27" s="5">
        <v>18</v>
      </c>
      <c r="H27" s="5">
        <v>3</v>
      </c>
      <c r="I27" s="9">
        <v>180000</v>
      </c>
      <c r="J27" s="1">
        <f t="shared" si="5"/>
        <v>54000</v>
      </c>
      <c r="K27" s="3">
        <f>atributos[[#This Row],[valor agregado]]+atributos[[#This Row],[valor producto]]</f>
        <v>234000</v>
      </c>
    </row>
    <row r="28" spans="1:14" x14ac:dyDescent="0.25">
      <c r="A28" s="1" t="str">
        <f t="shared" si="3"/>
        <v>atri-28-apari</v>
      </c>
      <c r="B28" s="1" t="s">
        <v>1</v>
      </c>
      <c r="C28" s="1" t="s">
        <v>70</v>
      </c>
      <c r="D28" s="5">
        <v>800</v>
      </c>
      <c r="E28" s="5">
        <v>400</v>
      </c>
      <c r="H28" s="5">
        <v>3</v>
      </c>
      <c r="I28" s="9">
        <v>210000</v>
      </c>
      <c r="J28" s="1">
        <f>I28*0.3</f>
        <v>63000</v>
      </c>
      <c r="K28" s="3">
        <f>atributos[[#This Row],[valor agregado]]+atributos[[#This Row],[valor producto]]</f>
        <v>273000</v>
      </c>
    </row>
    <row r="29" spans="1:14" x14ac:dyDescent="0.25">
      <c r="A29" s="1" t="str">
        <f t="shared" si="3"/>
        <v>atri-29-apari</v>
      </c>
      <c r="B29" s="1" t="s">
        <v>1</v>
      </c>
      <c r="C29" s="1" t="s">
        <v>5</v>
      </c>
      <c r="D29" s="5">
        <v>800</v>
      </c>
      <c r="E29" s="5">
        <v>400</v>
      </c>
      <c r="F29" s="5">
        <v>18</v>
      </c>
      <c r="H29" s="5">
        <v>3</v>
      </c>
      <c r="I29" s="9">
        <v>250000</v>
      </c>
      <c r="J29" s="1">
        <f t="shared" si="5"/>
        <v>75000</v>
      </c>
      <c r="K29" s="3">
        <f>atributos[[#This Row],[valor agregado]]+atributos[[#This Row],[valor producto]]</f>
        <v>325000</v>
      </c>
    </row>
    <row r="30" spans="1:14" x14ac:dyDescent="0.25">
      <c r="A30" s="1" t="str">
        <f t="shared" si="3"/>
        <v>atri-30-apari</v>
      </c>
      <c r="B30" s="1" t="s">
        <v>1</v>
      </c>
      <c r="C30" s="1" t="s">
        <v>6</v>
      </c>
      <c r="D30" s="5">
        <v>1800</v>
      </c>
      <c r="E30" s="5">
        <v>400</v>
      </c>
      <c r="F30" s="5">
        <v>18</v>
      </c>
      <c r="H30" s="5">
        <v>1</v>
      </c>
      <c r="I30" s="9">
        <v>90000</v>
      </c>
      <c r="J30" s="1">
        <f t="shared" si="5"/>
        <v>27000</v>
      </c>
      <c r="K30" s="3">
        <f>atributos[[#This Row],[valor agregado]]+atributos[[#This Row],[valor producto]]</f>
        <v>117000</v>
      </c>
    </row>
    <row r="31" spans="1:14" x14ac:dyDescent="0.25">
      <c r="A31" s="1" t="str">
        <f t="shared" si="3"/>
        <v>atri-31-apari</v>
      </c>
      <c r="B31" s="1" t="s">
        <v>1</v>
      </c>
      <c r="C31" s="1" t="s">
        <v>7</v>
      </c>
      <c r="D31" s="5">
        <v>1800</v>
      </c>
      <c r="E31" s="5">
        <v>400</v>
      </c>
      <c r="F31" s="5">
        <v>18</v>
      </c>
      <c r="H31" s="5">
        <v>2</v>
      </c>
      <c r="I31" s="9">
        <v>252000</v>
      </c>
      <c r="J31" s="1">
        <f t="shared" si="5"/>
        <v>75600</v>
      </c>
      <c r="K31" s="3">
        <f>atributos[[#This Row],[valor agregado]]+atributos[[#This Row],[valor producto]]</f>
        <v>327600</v>
      </c>
    </row>
    <row r="32" spans="1:14" x14ac:dyDescent="0.25">
      <c r="A32" s="1" t="str">
        <f t="shared" si="3"/>
        <v>atri-32-apari</v>
      </c>
      <c r="B32" s="1" t="s">
        <v>1</v>
      </c>
      <c r="C32" s="1" t="s">
        <v>8</v>
      </c>
      <c r="D32" s="5">
        <v>1800</v>
      </c>
      <c r="E32" s="5">
        <v>400</v>
      </c>
      <c r="F32" s="5">
        <v>18</v>
      </c>
      <c r="H32" s="5">
        <v>3</v>
      </c>
      <c r="I32" s="9">
        <v>324000</v>
      </c>
      <c r="J32" s="1">
        <f t="shared" si="5"/>
        <v>97200</v>
      </c>
      <c r="K32" s="3">
        <f>atributos[[#This Row],[valor agregado]]+atributos[[#This Row],[valor producto]]</f>
        <v>421200</v>
      </c>
      <c r="L32" s="1"/>
      <c r="N32" s="1"/>
    </row>
    <row r="33" spans="1:14" x14ac:dyDescent="0.25">
      <c r="A33" s="1" t="str">
        <f t="shared" si="3"/>
        <v>atri-33-apari</v>
      </c>
      <c r="B33" s="1" t="s">
        <v>1</v>
      </c>
      <c r="C33" s="1" t="s">
        <v>9</v>
      </c>
      <c r="D33" s="5">
        <v>1800</v>
      </c>
      <c r="E33" s="5">
        <v>400</v>
      </c>
      <c r="F33" s="5">
        <v>18</v>
      </c>
      <c r="H33" s="5">
        <v>3</v>
      </c>
      <c r="I33" s="9">
        <v>450000</v>
      </c>
      <c r="J33" s="1">
        <f t="shared" si="5"/>
        <v>135000</v>
      </c>
      <c r="K33" s="3">
        <f>atributos[[#This Row],[valor agregado]]+atributos[[#This Row],[valor producto]]</f>
        <v>585000</v>
      </c>
    </row>
    <row r="34" spans="1:14" x14ac:dyDescent="0.25">
      <c r="A34" s="1" t="str">
        <f t="shared" si="3"/>
        <v>atri-34-apari</v>
      </c>
      <c r="B34" s="1" t="s">
        <v>1</v>
      </c>
      <c r="C34" s="1" t="s">
        <v>71</v>
      </c>
      <c r="D34" s="5">
        <v>1800</v>
      </c>
      <c r="E34" s="5">
        <v>400</v>
      </c>
      <c r="F34" s="5">
        <v>18</v>
      </c>
      <c r="H34" s="5">
        <v>3</v>
      </c>
      <c r="I34" s="3">
        <v>490000</v>
      </c>
      <c r="J34" s="1">
        <f>I34*0.3</f>
        <v>147000</v>
      </c>
      <c r="K34" s="3">
        <f>atributos[[#This Row],[valor agregado]]+atributos[[#This Row],[valor producto]]</f>
        <v>637000</v>
      </c>
    </row>
    <row r="36" spans="1:14" x14ac:dyDescent="0.25">
      <c r="C36" s="7"/>
      <c r="M36" s="4"/>
    </row>
    <row r="37" spans="1:14" x14ac:dyDescent="0.25">
      <c r="B37" s="2"/>
      <c r="C37" s="7"/>
      <c r="H37" s="3"/>
      <c r="I37" s="3"/>
    </row>
    <row r="38" spans="1:14" x14ac:dyDescent="0.25">
      <c r="C38" s="7"/>
      <c r="H38" s="3"/>
      <c r="I38" s="3"/>
    </row>
    <row r="39" spans="1:14" x14ac:dyDescent="0.25">
      <c r="C39" s="7"/>
    </row>
    <row r="40" spans="1:14" x14ac:dyDescent="0.25">
      <c r="C40" s="7"/>
    </row>
    <row r="41" spans="1:14" x14ac:dyDescent="0.25">
      <c r="C41" s="7"/>
    </row>
    <row r="42" spans="1:14" x14ac:dyDescent="0.25">
      <c r="C42" s="7"/>
    </row>
    <row r="43" spans="1:14" x14ac:dyDescent="0.25">
      <c r="C43" s="7"/>
    </row>
    <row r="44" spans="1:14" x14ac:dyDescent="0.25">
      <c r="C44" s="6"/>
    </row>
    <row r="45" spans="1:14" x14ac:dyDescent="0.25">
      <c r="C45" s="6"/>
    </row>
    <row r="46" spans="1:14" x14ac:dyDescent="0.25">
      <c r="C46" s="6"/>
    </row>
    <row r="47" spans="1:14" x14ac:dyDescent="0.25">
      <c r="C47" s="7"/>
      <c r="H47" s="3"/>
      <c r="I47" s="3"/>
      <c r="J47" s="3"/>
      <c r="L47" s="1"/>
      <c r="M47" s="1"/>
      <c r="N47" s="3"/>
    </row>
    <row r="48" spans="1:14" x14ac:dyDescent="0.25">
      <c r="C48" s="7"/>
      <c r="H48" s="3"/>
      <c r="I48" s="3"/>
      <c r="J48" s="3"/>
      <c r="N48" s="3"/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9772-E56C-43B5-8F4D-6FAB25EBC961}">
  <dimension ref="A1:M6"/>
  <sheetViews>
    <sheetView zoomScaleNormal="100" workbookViewId="0">
      <selection activeCell="I3" sqref="I3"/>
    </sheetView>
  </sheetViews>
  <sheetFormatPr baseColWidth="10" defaultRowHeight="15" x14ac:dyDescent="0.25"/>
  <cols>
    <col min="1" max="1" width="27.85546875" customWidth="1"/>
    <col min="2" max="2" width="26.28515625" customWidth="1"/>
    <col min="6" max="6" width="26.140625" customWidth="1"/>
    <col min="7" max="7" width="26.85546875" bestFit="1" customWidth="1"/>
    <col min="8" max="8" width="29.85546875" bestFit="1" customWidth="1"/>
    <col min="9" max="9" width="18.85546875" customWidth="1"/>
    <col min="10" max="10" width="19.28515625" customWidth="1"/>
    <col min="11" max="11" width="15.28515625" bestFit="1" customWidth="1"/>
  </cols>
  <sheetData>
    <row r="1" spans="1:13" ht="30" x14ac:dyDescent="0.25">
      <c r="B1" t="s">
        <v>80</v>
      </c>
      <c r="C1" t="s">
        <v>81</v>
      </c>
      <c r="F1" s="14" t="s">
        <v>82</v>
      </c>
      <c r="G1" t="s">
        <v>83</v>
      </c>
      <c r="H1" t="s">
        <v>84</v>
      </c>
    </row>
    <row r="2" spans="1:13" x14ac:dyDescent="0.25">
      <c r="A2" t="s">
        <v>78</v>
      </c>
      <c r="B2" t="s">
        <v>53</v>
      </c>
      <c r="C2" t="s">
        <v>73</v>
      </c>
      <c r="D2" t="s">
        <v>74</v>
      </c>
      <c r="E2" t="s">
        <v>75</v>
      </c>
      <c r="F2" t="s">
        <v>21</v>
      </c>
      <c r="G2" t="s">
        <v>86</v>
      </c>
      <c r="H2" t="s">
        <v>76</v>
      </c>
      <c r="I2" t="s">
        <v>79</v>
      </c>
      <c r="J2" t="s">
        <v>85</v>
      </c>
      <c r="K2" t="s">
        <v>87</v>
      </c>
    </row>
    <row r="3" spans="1:13" x14ac:dyDescent="0.25">
      <c r="B3" t="s">
        <v>77</v>
      </c>
      <c r="C3">
        <v>224</v>
      </c>
      <c r="D3">
        <v>261</v>
      </c>
      <c r="E3">
        <v>4</v>
      </c>
      <c r="F3">
        <v>1</v>
      </c>
      <c r="G3">
        <v>6.2732000000000001</v>
      </c>
      <c r="I3" s="3">
        <f>productos!K2</f>
        <v>85158.559527008882</v>
      </c>
      <c r="J3" s="3">
        <f>listado_modulos[[#This Row],[cantidad]]*listado_modulos[[#This Row],[area por modulo]]*listado_modulos[[#This Row],[costo material]]</f>
        <v>534216.67562483216</v>
      </c>
      <c r="K3" s="3">
        <f>listado_modulos[[#This Row],[area por modulo]]*listado_modulos[[#This Row],[material]]*listado_modulos[[#This Row],[precio material]]</f>
        <v>0</v>
      </c>
    </row>
    <row r="4" spans="1:13" x14ac:dyDescent="0.25">
      <c r="B4" t="s">
        <v>77</v>
      </c>
      <c r="C4">
        <v>224</v>
      </c>
      <c r="D4">
        <v>261</v>
      </c>
      <c r="E4">
        <v>4</v>
      </c>
      <c r="I4" s="3">
        <f>productos!K3</f>
        <v>91709.217952163395</v>
      </c>
      <c r="J4" s="3">
        <f>listado_modulos[[#This Row],[cantidad]]*listado_modulos[[#This Row],[area por modulo]]*listado_modulos[[#This Row],[costo material]]</f>
        <v>0</v>
      </c>
      <c r="M4" t="s">
        <v>88</v>
      </c>
    </row>
    <row r="5" spans="1:13" x14ac:dyDescent="0.25">
      <c r="B5" t="s">
        <v>72</v>
      </c>
      <c r="I5" s="3">
        <f>productos!K4</f>
        <v>259406.07363611931</v>
      </c>
      <c r="J5" s="3">
        <f>listado_modulos[[#This Row],[cantidad]]*listado_modulos[[#This Row],[area por modulo]]*listado_modulos[[#This Row],[costo material]]</f>
        <v>0</v>
      </c>
      <c r="M5" t="s">
        <v>89</v>
      </c>
    </row>
    <row r="6" spans="1:13" x14ac:dyDescent="0.25">
      <c r="M6" t="s">
        <v>90</v>
      </c>
    </row>
  </sheetData>
  <phoneticPr fontId="2" type="noConversion"/>
  <dataValidations count="3">
    <dataValidation type="custom" allowBlank="1" showInputMessage="1" showErrorMessage="1" sqref="A3:A5 C3:F5" xr:uid="{94FDE3AF-17C1-4820-8ABC-FE203C7B9A8A}">
      <formula1>XES2</formula1>
    </dataValidation>
    <dataValidation type="custom" allowBlank="1" showInputMessage="1" showErrorMessage="1" sqref="B3:B5" xr:uid="{30FE2439-4702-4ECB-A413-05C92FA8C4A4}">
      <formula1>#REF!</formula1>
    </dataValidation>
    <dataValidation type="custom" allowBlank="1" showInputMessage="1" showErrorMessage="1" sqref="G3:H5" xr:uid="{C636C738-1A0D-4DAB-AF68-3F80D625C225}">
      <formula1>XEX2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C2FC-0BB9-4834-B99E-A769C6BDD212}">
  <dimension ref="A1:M27"/>
  <sheetViews>
    <sheetView zoomScale="115" zoomScaleNormal="115" workbookViewId="0">
      <selection activeCell="C8" sqref="C8"/>
    </sheetView>
  </sheetViews>
  <sheetFormatPr baseColWidth="10" defaultRowHeight="15" x14ac:dyDescent="0.25"/>
  <cols>
    <col min="1" max="1" width="29.7109375" bestFit="1" customWidth="1"/>
    <col min="2" max="2" width="19.42578125" customWidth="1"/>
    <col min="8" max="9" width="13.28515625" bestFit="1" customWidth="1"/>
    <col min="10" max="11" width="12.140625" bestFit="1" customWidth="1"/>
    <col min="13" max="13" width="14.85546875" bestFit="1" customWidth="1"/>
  </cols>
  <sheetData>
    <row r="1" spans="1:2" x14ac:dyDescent="0.25">
      <c r="A1" t="s">
        <v>43</v>
      </c>
    </row>
    <row r="2" spans="1:2" x14ac:dyDescent="0.25">
      <c r="A2" t="s">
        <v>44</v>
      </c>
      <c r="B2">
        <f>25000*3</f>
        <v>75000</v>
      </c>
    </row>
    <row r="3" spans="1:2" x14ac:dyDescent="0.25">
      <c r="A3" t="s">
        <v>45</v>
      </c>
      <c r="B3">
        <v>50000</v>
      </c>
    </row>
    <row r="4" spans="1:2" x14ac:dyDescent="0.25">
      <c r="A4" t="s">
        <v>46</v>
      </c>
      <c r="B4">
        <v>90000</v>
      </c>
    </row>
    <row r="5" spans="1:2" x14ac:dyDescent="0.25">
      <c r="A5" t="s">
        <v>51</v>
      </c>
      <c r="B5">
        <v>100000</v>
      </c>
    </row>
    <row r="6" spans="1:2" x14ac:dyDescent="0.25">
      <c r="A6" t="s">
        <v>22</v>
      </c>
      <c r="B6" s="1">
        <f>SUM(B2:B5)</f>
        <v>315000</v>
      </c>
    </row>
    <row r="12" spans="1:2" x14ac:dyDescent="0.25">
      <c r="A12" t="s">
        <v>47</v>
      </c>
      <c r="B12" t="s">
        <v>48</v>
      </c>
    </row>
    <row r="13" spans="1:2" x14ac:dyDescent="0.25">
      <c r="A13" t="s">
        <v>49</v>
      </c>
      <c r="B13">
        <v>50000</v>
      </c>
    </row>
    <row r="14" spans="1:2" x14ac:dyDescent="0.25">
      <c r="A14" t="s">
        <v>13</v>
      </c>
      <c r="B14">
        <v>250000</v>
      </c>
    </row>
    <row r="15" spans="1:2" x14ac:dyDescent="0.25">
      <c r="A15" t="s">
        <v>50</v>
      </c>
    </row>
    <row r="17" spans="3:13" x14ac:dyDescent="0.25">
      <c r="C17" s="6"/>
      <c r="D17" s="5"/>
      <c r="E17" s="5"/>
      <c r="F17" s="5"/>
      <c r="G17" s="5"/>
    </row>
    <row r="18" spans="3:13" x14ac:dyDescent="0.25">
      <c r="C18" s="5"/>
      <c r="D18" s="6"/>
      <c r="E18" s="5"/>
      <c r="F18" s="5"/>
      <c r="G18" s="5"/>
      <c r="H18" s="3"/>
      <c r="I18" s="1"/>
      <c r="J18" s="1"/>
      <c r="K18" s="1"/>
      <c r="L18" s="4"/>
      <c r="M18" s="3"/>
    </row>
    <row r="19" spans="3:13" x14ac:dyDescent="0.25">
      <c r="C19" s="5"/>
      <c r="D19" s="6"/>
      <c r="E19" s="5"/>
      <c r="F19" s="5"/>
      <c r="G19" s="5"/>
      <c r="H19" s="3"/>
      <c r="I19" s="1"/>
      <c r="J19" s="1"/>
      <c r="K19" s="1"/>
      <c r="L19" s="4"/>
      <c r="M19" s="3"/>
    </row>
    <row r="20" spans="3:13" x14ac:dyDescent="0.25">
      <c r="C20" s="5"/>
      <c r="D20" s="6"/>
      <c r="E20" s="5"/>
      <c r="F20" s="5"/>
      <c r="G20" s="5"/>
      <c r="H20" s="3"/>
      <c r="I20" s="3"/>
      <c r="J20" s="1"/>
      <c r="K20" s="1"/>
      <c r="L20" s="4"/>
      <c r="M20" s="3"/>
    </row>
    <row r="21" spans="3:13" x14ac:dyDescent="0.25">
      <c r="C21" s="7"/>
      <c r="D21" s="5"/>
      <c r="E21" s="5"/>
      <c r="F21" s="5"/>
      <c r="G21" s="5"/>
      <c r="H21" s="3"/>
      <c r="I21" s="3"/>
      <c r="J21" s="1"/>
      <c r="K21" s="1"/>
      <c r="L21" s="4"/>
      <c r="M21" s="3"/>
    </row>
    <row r="22" spans="3:13" x14ac:dyDescent="0.25">
      <c r="C22" s="5"/>
      <c r="D22" s="7"/>
      <c r="E22" s="5"/>
      <c r="F22" s="5"/>
      <c r="G22" s="5"/>
      <c r="H22" s="3"/>
      <c r="I22" s="3"/>
      <c r="J22" s="1"/>
      <c r="K22" s="1"/>
      <c r="L22" s="4"/>
      <c r="M22" s="3"/>
    </row>
    <row r="23" spans="3:13" x14ac:dyDescent="0.25">
      <c r="C23" s="5"/>
      <c r="D23" s="7"/>
      <c r="E23" s="5"/>
      <c r="F23" s="5"/>
      <c r="G23" s="5"/>
      <c r="H23" s="3"/>
      <c r="I23" s="3"/>
      <c r="J23" s="1"/>
      <c r="K23" s="1"/>
      <c r="L23" s="4"/>
      <c r="M23" s="3"/>
    </row>
    <row r="24" spans="3:13" x14ac:dyDescent="0.25">
      <c r="C24" s="7"/>
      <c r="D24" s="5"/>
      <c r="E24" s="5"/>
      <c r="F24" s="5"/>
      <c r="G24" s="5"/>
      <c r="H24" s="3"/>
      <c r="I24" s="3"/>
      <c r="J24" s="1"/>
      <c r="K24" s="1"/>
      <c r="L24" s="4"/>
      <c r="M24" s="3"/>
    </row>
    <row r="25" spans="3:13" x14ac:dyDescent="0.25">
      <c r="C25" s="7"/>
      <c r="D25" s="5"/>
      <c r="E25" s="5"/>
      <c r="F25" s="5"/>
      <c r="G25" s="5"/>
      <c r="H25" s="3"/>
      <c r="I25" s="3"/>
      <c r="J25" s="1"/>
      <c r="K25" s="1"/>
      <c r="L25" s="4"/>
      <c r="M25" s="3"/>
    </row>
    <row r="26" spans="3:13" x14ac:dyDescent="0.25">
      <c r="C26" s="7"/>
      <c r="D26" s="5"/>
      <c r="E26" s="5"/>
      <c r="F26" s="5"/>
      <c r="G26" s="5"/>
      <c r="H26" s="3"/>
      <c r="I26" s="3"/>
      <c r="J26" s="1"/>
      <c r="K26" s="1"/>
      <c r="L26" s="4"/>
      <c r="M26" s="3"/>
    </row>
    <row r="27" spans="3:13" x14ac:dyDescent="0.25">
      <c r="C27" s="5"/>
      <c r="D27" s="5"/>
      <c r="E27" s="5"/>
      <c r="F27" s="5"/>
      <c r="G27" s="5"/>
      <c r="H27" s="3"/>
      <c r="J27" s="1"/>
      <c r="K27" s="1"/>
      <c r="L27" s="4"/>
      <c r="M2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6517-FB9B-4ABA-9240-F3EAECCE3FF1}">
  <dimension ref="A1"/>
  <sheetViews>
    <sheetView workbookViewId="0">
      <selection activeCell="E37" sqref="E37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productos</vt:lpstr>
      <vt:lpstr>calculador de modulos</vt:lpstr>
      <vt:lpstr>calculo de operativos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Irhon Javier  Garcia</dc:creator>
  <cp:lastModifiedBy>javier garcia</cp:lastModifiedBy>
  <dcterms:created xsi:type="dcterms:W3CDTF">2024-03-12T02:15:57Z</dcterms:created>
  <dcterms:modified xsi:type="dcterms:W3CDTF">2024-05-14T23:26:49Z</dcterms:modified>
</cp:coreProperties>
</file>