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Herramientas del servicio\flujo_automatizacion\"/>
    </mc:Choice>
  </mc:AlternateContent>
  <xr:revisionPtr revIDLastSave="0" documentId="13_ncr:1_{2DEEFDBE-0A69-4A7C-9627-2CD4CD6E14BD}" xr6:coauthVersionLast="47" xr6:coauthVersionMax="47" xr10:uidLastSave="{00000000-0000-0000-0000-000000000000}"/>
  <bookViews>
    <workbookView xWindow="14295" yWindow="0" windowWidth="14610" windowHeight="15585" activeTab="1" xr2:uid="{C93A522B-7560-4C9C-B75B-81F7B7DF5E10}"/>
  </bookViews>
  <sheets>
    <sheet name="productos_laminares" sheetId="1" r:id="rId1"/>
    <sheet name="productos_atributos" sheetId="2" r:id="rId2"/>
    <sheet name="modul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2" l="1"/>
  <c r="M13" i="2"/>
  <c r="N13" i="2" s="1"/>
  <c r="M2" i="2"/>
  <c r="N2" i="2" s="1"/>
  <c r="M3" i="2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A12" i="2"/>
  <c r="A2" i="1"/>
  <c r="A11" i="2"/>
  <c r="A10" i="2"/>
  <c r="A9" i="2"/>
  <c r="A8" i="2"/>
  <c r="A7" i="2"/>
  <c r="A6" i="2"/>
  <c r="A5" i="2"/>
  <c r="A4" i="2"/>
  <c r="A3" i="2"/>
  <c r="A2" i="2"/>
  <c r="I10" i="1"/>
  <c r="K10" i="1" s="1"/>
  <c r="A10" i="1"/>
  <c r="K9" i="1"/>
  <c r="I9" i="1"/>
  <c r="A9" i="1"/>
  <c r="I8" i="1"/>
  <c r="K8" i="1" s="1"/>
  <c r="A8" i="1"/>
  <c r="I7" i="1"/>
  <c r="K7" i="1" s="1"/>
  <c r="A7" i="1"/>
  <c r="I6" i="1"/>
  <c r="K6" i="1" s="1"/>
  <c r="A6" i="1"/>
  <c r="K5" i="1"/>
  <c r="I5" i="1"/>
  <c r="A5" i="1"/>
  <c r="I4" i="1"/>
  <c r="K4" i="1" s="1"/>
  <c r="A4" i="1"/>
  <c r="I3" i="1"/>
  <c r="K3" i="1" s="1"/>
  <c r="A3" i="1"/>
  <c r="I2" i="1"/>
  <c r="K2" i="1" s="1"/>
  <c r="N3" i="2" l="1"/>
</calcChain>
</file>

<file path=xl/sharedStrings.xml><?xml version="1.0" encoding="utf-8"?>
<sst xmlns="http://schemas.openxmlformats.org/spreadsheetml/2006/main" count="120" uniqueCount="74">
  <si>
    <t>codigo</t>
  </si>
  <si>
    <t>tipo</t>
  </si>
  <si>
    <t>item</t>
  </si>
  <si>
    <t>Y</t>
  </si>
  <si>
    <t>X</t>
  </si>
  <si>
    <t>Z</t>
  </si>
  <si>
    <t>unidad de medida</t>
  </si>
  <si>
    <t>gama</t>
  </si>
  <si>
    <t>area</t>
  </si>
  <si>
    <t>valor</t>
  </si>
  <si>
    <t>precio_por_metro_tablero</t>
  </si>
  <si>
    <t>Adicional</t>
  </si>
  <si>
    <t>tablero</t>
  </si>
  <si>
    <t>lamina melamina 18 244 183 blanca</t>
  </si>
  <si>
    <t>mt2</t>
  </si>
  <si>
    <t>lamina melamina 18 244 183 color</t>
  </si>
  <si>
    <t xml:space="preserve">lamina altobrillo blanco </t>
  </si>
  <si>
    <t>fondo blanco</t>
  </si>
  <si>
    <t>fondo color</t>
  </si>
  <si>
    <t>mesones</t>
  </si>
  <si>
    <t>meson blanco polar y blanco extra</t>
  </si>
  <si>
    <t>Proveedor, dalver</t>
  </si>
  <si>
    <t>mesón negro san gabriel</t>
  </si>
  <si>
    <t>meson blanco con vetas sinterizado</t>
  </si>
  <si>
    <t>precio_total_atributo</t>
  </si>
  <si>
    <t>herraje</t>
  </si>
  <si>
    <t>costado metalico tech luxe</t>
  </si>
  <si>
    <t>mm</t>
  </si>
  <si>
    <t>blum</t>
  </si>
  <si>
    <t>Tecnifacil scu   307407-307507 capacidad 50kg</t>
  </si>
  <si>
    <t>costado metalico clasica</t>
  </si>
  <si>
    <t>cajón bajo metalico tech luxe</t>
  </si>
  <si>
    <t>&gt;=100</t>
  </si>
  <si>
    <t>barra estabilizadora gris antracita</t>
  </si>
  <si>
    <t>Riel oculto cierre lento</t>
  </si>
  <si>
    <t>accesorio</t>
  </si>
  <si>
    <t>tapete para piso cajón impermeable</t>
  </si>
  <si>
    <t>cm</t>
  </si>
  <si>
    <t>materia prima</t>
  </si>
  <si>
    <t>caja ceramica baldocin</t>
  </si>
  <si>
    <t>promedio metro cuadrado</t>
  </si>
  <si>
    <t>valor_agregado</t>
  </si>
  <si>
    <t>valor_producto</t>
  </si>
  <si>
    <t>marca</t>
  </si>
  <si>
    <t>proveedor</t>
  </si>
  <si>
    <t>descripcion</t>
  </si>
  <si>
    <t xml:space="preserve"> scu 306907-307507 capacidad 43kg</t>
  </si>
  <si>
    <t>Tecnifacil</t>
  </si>
  <si>
    <t>codigo_scu</t>
  </si>
  <si>
    <t>HSC207-45</t>
  </si>
  <si>
    <t>HE11500Q</t>
  </si>
  <si>
    <t>tecnifacil</t>
  </si>
  <si>
    <t>madecentro</t>
  </si>
  <si>
    <t>capacidad 30kg</t>
  </si>
  <si>
    <t xml:space="preserve"> HSC020-50 </t>
  </si>
  <si>
    <t xml:space="preserve">Boniut </t>
  </si>
  <si>
    <t>HSC020-50</t>
  </si>
  <si>
    <t xml:space="preserve">Boniut  Sku:  </t>
  </si>
  <si>
    <t>nombre_atributo</t>
  </si>
  <si>
    <t>hola mundo</t>
  </si>
  <si>
    <t>Challenger</t>
  </si>
  <si>
    <t xml:space="preserve"> Acero Inoxidable</t>
  </si>
  <si>
    <t>Lavaplatos de Submontar Doble</t>
  </si>
  <si>
    <t>LV 3786</t>
  </si>
  <si>
    <t>imagen</t>
  </si>
  <si>
    <t>meson en acero alimentos</t>
  </si>
  <si>
    <t>poceta de acero basica</t>
  </si>
  <si>
    <t>acero alimentos</t>
  </si>
  <si>
    <t>Aceros Jhon</t>
  </si>
  <si>
    <t>hg-lv-1</t>
  </si>
  <si>
    <t>aceros jhon</t>
  </si>
  <si>
    <t>#medida_ancho</t>
  </si>
  <si>
    <t>#medida_alto</t>
  </si>
  <si>
    <t>#medida_profundo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</si>
</sst>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49" fontId="0" fillId="2" borderId="0" xfId="1" applyNumberFormat="1" applyFont="1" applyFill="1"/>
    <xf numFmtId="44" fontId="0" fillId="2" borderId="0" xfId="1" applyFont="1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1" fontId="0" fillId="2" borderId="0" xfId="1" applyNumberFormat="1" applyFont="1" applyFill="1"/>
    <xf numFmtId="49" fontId="0" fillId="0" borderId="0" xfId="1" applyNumberFormat="1" applyFont="1"/>
    <xf numFmtId="44" fontId="0" fillId="0" borderId="0" xfId="1" applyFont="1"/>
    <xf numFmtId="0" fontId="0" fillId="0" borderId="0" xfId="0" applyAlignment="1">
      <alignment horizontal="center" vertical="center"/>
    </xf>
    <xf numFmtId="1" fontId="0" fillId="0" borderId="0" xfId="0" applyNumberFormat="1"/>
    <xf numFmtId="1" fontId="0" fillId="2" borderId="0" xfId="0" applyNumberFormat="1" applyFill="1"/>
    <xf numFmtId="44" fontId="0" fillId="0" borderId="0" xfId="0" applyNumberFormat="1"/>
    <xf numFmtId="44" fontId="0" fillId="2" borderId="0" xfId="0" applyNumberForma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3" fontId="0" fillId="0" borderId="0" xfId="0" applyNumberFormat="1"/>
  </cellXfs>
  <cellStyles count="2">
    <cellStyle name="Moneda" xfId="1" builtinId="4"/>
    <cellStyle name="Normal" xfId="0" builtinId="0"/>
  </cellStyles>
  <dxfs count="29">
    <dxf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</dxf>
    <dxf>
      <numFmt numFmtId="34" formatCode="_-&quot;$&quot;\ * #,##0.00_-;\-&quot;$&quot;\ * #,##0.00_-;_-&quot;$&quot;\ 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numFmt numFmtId="34" formatCode="_-&quot;$&quot;\ * #,##0.00_-;\-&quot;$&quot;\ * #,##0.00_-;_-&quot;$&quot;\ * &quot;-&quot;??_-;_-@_-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CFBF92-33FC-4CD7-80AB-7CC5BF3A49E6}" name="bt_productos_laminares" displayName="bt_productos_laminares" ref="A1:L10" totalsRowShown="0" headerRowDxfId="28" headerRowBorderDxfId="27" tableBorderDxfId="26">
  <autoFilter ref="A1:L10" xr:uid="{6ACFBF92-33FC-4CD7-80AB-7CC5BF3A49E6}"/>
  <tableColumns count="12">
    <tableColumn id="1" xr3:uid="{15B8B620-AA39-4BA7-9494-97C6BF708CDB}" name="codigo" dataDxfId="25" dataCellStyle="Moneda">
      <calculatedColumnFormula>"lami-"  &amp; ROW() &amp;"-"&amp; LEFT(B2,5)</calculatedColumnFormula>
    </tableColumn>
    <tableColumn id="2" xr3:uid="{C5AE00CA-4085-49DF-BA33-881423273D6D}" name="tipo" dataDxfId="24" dataCellStyle="Moneda"/>
    <tableColumn id="3" xr3:uid="{4BCC8004-3CA4-488D-84AF-76EA501D8124}" name="item"/>
    <tableColumn id="4" xr3:uid="{AFFED404-2A99-412F-B4A7-B49321EB59CE}" name="Y" dataDxfId="23"/>
    <tableColumn id="5" xr3:uid="{211A841F-5A5E-428A-813D-A3A743BA11D1}" name="X" dataDxfId="22"/>
    <tableColumn id="6" xr3:uid="{9831D0BB-3702-41B5-82F4-115ED5D58869}" name="Z" dataDxfId="21"/>
    <tableColumn id="7" xr3:uid="{9CABD739-9E95-4F68-9E5D-2DE690B34F91}" name="unidad de medida" dataDxfId="20"/>
    <tableColumn id="8" xr3:uid="{483C2175-C341-438D-912F-3FBDAEC8F8C1}" name="gama" dataDxfId="19"/>
    <tableColumn id="9" xr3:uid="{5FDEE153-5B98-49F9-9298-6C89DF09A785}" name="area" dataDxfId="18">
      <calculatedColumnFormula>D2*E2*0.000001</calculatedColumnFormula>
    </tableColumn>
    <tableColumn id="10" xr3:uid="{B0F9D1EB-2753-4C63-B3D7-CB1D96599199}" name="valor" dataDxfId="17"/>
    <tableColumn id="11" xr3:uid="{7DE8306B-9B7F-4774-8948-2153D552F9F6}" name="precio_por_metro_tablero" dataDxfId="16" dataCellStyle="Moneda">
      <calculatedColumnFormula>(J2/I2)*117%</calculatedColumnFormula>
    </tableColumn>
    <tableColumn id="12" xr3:uid="{C91390F8-5816-4B7F-8C64-4253711F2DD1}" name="Adicional" dataDxfId="1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D26A6-62CD-4764-9F72-B2D0824054BD}" name="bt_productos_atributos" displayName="bt_productos_atributos" ref="A1:O13" totalsRowShown="0" headerRowDxfId="14" headerRowBorderDxfId="13" tableBorderDxfId="12">
  <autoFilter ref="A1:O13" xr:uid="{590D26A6-62CD-4764-9F72-B2D0824054BD}"/>
  <tableColumns count="15">
    <tableColumn id="1" xr3:uid="{43347694-AF98-4184-AEAF-04F480EEF7CD}" name="codigo" dataDxfId="11" dataCellStyle="Moneda">
      <calculatedColumnFormula>"atri-"  &amp; ROW() &amp;"-"&amp; LEFT(B2,5)</calculatedColumnFormula>
    </tableColumn>
    <tableColumn id="2" xr3:uid="{3ED79DE9-BF05-4F84-A377-1CD5FE86270C}" name="tipo" dataDxfId="10" dataCellStyle="Moneda"/>
    <tableColumn id="3" xr3:uid="{DB456B2A-A002-4A66-8663-985D3A459C09}" name="nombre_atributo" dataDxfId="9" dataCellStyle="Moneda"/>
    <tableColumn id="4" xr3:uid="{BAF84E68-6219-4148-8176-F0FACF322DC5}" name="#medida_ancho" dataDxfId="8"/>
    <tableColumn id="5" xr3:uid="{CC0C6759-76E1-4C59-8574-271CBC636443}" name="#medida_alto" dataDxfId="7"/>
    <tableColumn id="6" xr3:uid="{A68BB7C1-A218-4A50-9D20-8C75EE03B24F}" name="#medida_profundo" dataDxfId="6"/>
    <tableColumn id="7" xr3:uid="{93C7B844-5452-45E2-BB73-7D9D68232459}" name="unidad de medida" dataDxfId="5"/>
    <tableColumn id="15" xr3:uid="{66E3F927-7A67-45E3-B68A-2A697D50E81E}" name="descripcion" dataDxfId="4"/>
    <tableColumn id="12" xr3:uid="{AABB325F-FD65-47F2-B7EA-72111AC98F80}" name="marca"/>
    <tableColumn id="13" xr3:uid="{24334AD8-82A2-4C76-B492-172453AD24C6}" name="proveedor"/>
    <tableColumn id="14" xr3:uid="{BAE02B95-711E-4681-9A67-2A600B9E9F8D}" name="codigo_scu"/>
    <tableColumn id="9" xr3:uid="{C09123C9-FF66-44B4-BF71-C8F039578D75}" name="valor_producto" dataDxfId="3"/>
    <tableColumn id="10" xr3:uid="{44FC6A35-DEEE-4852-93CB-B096331FFF17}" name="valor_agregado" dataDxfId="2" dataCellStyle="Moneda">
      <calculatedColumnFormula>L2*0.25</calculatedColumnFormula>
    </tableColumn>
    <tableColumn id="11" xr3:uid="{4268FDC7-1B7C-4C7B-96CE-A34D0DD5A014}" name="precio_total_atributo" dataDxfId="1">
      <calculatedColumnFormula>bt_productos_atributos[[#This Row],[valor_agregado]]+bt_productos_atributos[[#This Row],[valor_producto]]</calculatedColumnFormula>
    </tableColumn>
    <tableColumn id="17" xr3:uid="{A120D04A-4392-48AA-8E05-2BC4E7A56EB1}" name="image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A921-10FF-4BD0-A5DE-7B37DADBF24E}">
  <dimension ref="A1:L21"/>
  <sheetViews>
    <sheetView workbookViewId="0">
      <selection activeCell="G21" sqref="G21"/>
    </sheetView>
  </sheetViews>
  <sheetFormatPr baseColWidth="10" defaultRowHeight="15" x14ac:dyDescent="0.25"/>
  <cols>
    <col min="1" max="1" width="19.85546875" customWidth="1"/>
    <col min="3" max="3" width="34.5703125" bestFit="1" customWidth="1"/>
    <col min="7" max="7" width="19.140625" customWidth="1"/>
    <col min="10" max="10" width="13" bestFit="1" customWidth="1"/>
    <col min="11" max="11" width="26.28515625" customWidth="1"/>
    <col min="12" max="12" width="16.42578125" bestFit="1" customWidth="1"/>
  </cols>
  <sheetData>
    <row r="1" spans="1:12" x14ac:dyDescent="0.25">
      <c r="A1" s="15" t="s">
        <v>0</v>
      </c>
      <c r="B1" s="16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 t="s">
        <v>9</v>
      </c>
      <c r="K1" s="16" t="s">
        <v>10</v>
      </c>
      <c r="L1" s="15" t="s">
        <v>11</v>
      </c>
    </row>
    <row r="2" spans="1:12" x14ac:dyDescent="0.25">
      <c r="A2" s="1" t="str">
        <f>"lami-"  &amp; ROW() &amp;"-"&amp; LEFT(B2,5)</f>
        <v>lami-2-table</v>
      </c>
      <c r="B2" s="2" t="s">
        <v>12</v>
      </c>
      <c r="C2" s="3" t="s">
        <v>13</v>
      </c>
      <c r="D2" s="4">
        <v>2440</v>
      </c>
      <c r="E2" s="4">
        <v>1830</v>
      </c>
      <c r="F2" s="4">
        <v>18</v>
      </c>
      <c r="G2" s="4" t="s">
        <v>14</v>
      </c>
      <c r="H2" s="5">
        <v>1</v>
      </c>
      <c r="I2" s="4">
        <f t="shared" ref="I2:I10" si="0">D2*E2*0.000001</f>
        <v>4.4651999999999994</v>
      </c>
      <c r="J2" s="2">
        <v>325000</v>
      </c>
      <c r="K2" s="2">
        <f t="shared" ref="K2:K10" si="1">(J2/I2)*117%</f>
        <v>85158.559527008882</v>
      </c>
      <c r="L2" s="2"/>
    </row>
    <row r="3" spans="1:12" x14ac:dyDescent="0.25">
      <c r="A3" s="6" t="str">
        <f t="shared" ref="A3:A10" si="2">"lami-"  &amp; ROW() &amp;"-"&amp; LEFT(B3,5)</f>
        <v>lami-3-table</v>
      </c>
      <c r="B3" s="7" t="s">
        <v>12</v>
      </c>
      <c r="C3" t="s">
        <v>15</v>
      </c>
      <c r="D3" s="8">
        <v>2440</v>
      </c>
      <c r="E3" s="8">
        <v>1830</v>
      </c>
      <c r="F3" s="8">
        <v>18</v>
      </c>
      <c r="G3" s="8" t="s">
        <v>14</v>
      </c>
      <c r="H3" s="9">
        <v>1</v>
      </c>
      <c r="I3" s="8">
        <f t="shared" si="0"/>
        <v>4.4651999999999994</v>
      </c>
      <c r="J3" s="7">
        <v>350000</v>
      </c>
      <c r="K3" s="7">
        <f t="shared" si="1"/>
        <v>91709.217952163395</v>
      </c>
    </row>
    <row r="4" spans="1:12" x14ac:dyDescent="0.25">
      <c r="A4" s="1" t="str">
        <f t="shared" si="2"/>
        <v>lami-4-table</v>
      </c>
      <c r="B4" s="2" t="s">
        <v>12</v>
      </c>
      <c r="C4" s="3" t="s">
        <v>16</v>
      </c>
      <c r="D4" s="4">
        <v>2440</v>
      </c>
      <c r="E4" s="4">
        <v>1220</v>
      </c>
      <c r="F4" s="4">
        <v>18</v>
      </c>
      <c r="G4" s="4" t="s">
        <v>14</v>
      </c>
      <c r="H4" s="10">
        <v>2</v>
      </c>
      <c r="I4" s="4">
        <f t="shared" si="0"/>
        <v>2.9767999999999999</v>
      </c>
      <c r="J4" s="2">
        <v>660000</v>
      </c>
      <c r="K4" s="2">
        <f t="shared" si="1"/>
        <v>259406.07363611931</v>
      </c>
      <c r="L4" s="3"/>
    </row>
    <row r="5" spans="1:12" x14ac:dyDescent="0.25">
      <c r="A5" s="6" t="str">
        <f t="shared" si="2"/>
        <v>lami-5-table</v>
      </c>
      <c r="B5" s="7" t="s">
        <v>12</v>
      </c>
      <c r="C5" t="s">
        <v>17</v>
      </c>
      <c r="D5" s="8">
        <v>2440</v>
      </c>
      <c r="E5" s="8">
        <v>1830</v>
      </c>
      <c r="F5" s="8">
        <v>6</v>
      </c>
      <c r="G5" s="8" t="s">
        <v>14</v>
      </c>
      <c r="H5" s="9">
        <v>1</v>
      </c>
      <c r="I5" s="8">
        <f t="shared" si="0"/>
        <v>4.4651999999999994</v>
      </c>
      <c r="J5" s="11">
        <v>180000</v>
      </c>
      <c r="K5" s="7">
        <f t="shared" si="1"/>
        <v>47164.740661112606</v>
      </c>
    </row>
    <row r="6" spans="1:12" x14ac:dyDescent="0.25">
      <c r="A6" s="1" t="str">
        <f t="shared" si="2"/>
        <v>lami-6-table</v>
      </c>
      <c r="B6" s="2" t="s">
        <v>12</v>
      </c>
      <c r="C6" s="3" t="s">
        <v>18</v>
      </c>
      <c r="D6" s="4">
        <v>2440</v>
      </c>
      <c r="E6" s="4">
        <v>1830</v>
      </c>
      <c r="F6" s="4">
        <v>6</v>
      </c>
      <c r="G6" s="4" t="s">
        <v>14</v>
      </c>
      <c r="H6" s="10">
        <v>1</v>
      </c>
      <c r="I6" s="4">
        <f t="shared" si="0"/>
        <v>4.4651999999999994</v>
      </c>
      <c r="J6" s="12">
        <v>200000</v>
      </c>
      <c r="K6" s="2">
        <f t="shared" si="1"/>
        <v>52405.267401236226</v>
      </c>
      <c r="L6" s="3"/>
    </row>
    <row r="7" spans="1:12" x14ac:dyDescent="0.25">
      <c r="A7" s="6" t="str">
        <f t="shared" si="2"/>
        <v>lami-7-meson</v>
      </c>
      <c r="B7" s="7" t="s">
        <v>19</v>
      </c>
      <c r="C7" s="7" t="s">
        <v>20</v>
      </c>
      <c r="D7" s="8">
        <v>600</v>
      </c>
      <c r="E7" s="8">
        <v>100</v>
      </c>
      <c r="F7" s="8">
        <v>15</v>
      </c>
      <c r="G7" s="8" t="s">
        <v>14</v>
      </c>
      <c r="H7" s="9">
        <v>2</v>
      </c>
      <c r="I7" s="8">
        <f t="shared" si="0"/>
        <v>0.06</v>
      </c>
      <c r="J7" s="11">
        <v>500000</v>
      </c>
      <c r="K7" s="7">
        <f t="shared" si="1"/>
        <v>9750000</v>
      </c>
      <c r="L7" t="s">
        <v>21</v>
      </c>
    </row>
    <row r="8" spans="1:12" x14ac:dyDescent="0.25">
      <c r="A8" s="1" t="str">
        <f t="shared" si="2"/>
        <v>lami-8-meson</v>
      </c>
      <c r="B8" s="2" t="s">
        <v>19</v>
      </c>
      <c r="C8" s="2" t="s">
        <v>22</v>
      </c>
      <c r="D8" s="4">
        <v>600</v>
      </c>
      <c r="E8" s="4">
        <v>100</v>
      </c>
      <c r="F8" s="4">
        <v>15</v>
      </c>
      <c r="G8" s="4" t="s">
        <v>14</v>
      </c>
      <c r="H8" s="10">
        <v>2</v>
      </c>
      <c r="I8" s="4">
        <f t="shared" si="0"/>
        <v>0.06</v>
      </c>
      <c r="J8" s="12">
        <v>600000</v>
      </c>
      <c r="K8" s="2">
        <f t="shared" si="1"/>
        <v>11700000</v>
      </c>
      <c r="L8" s="3" t="s">
        <v>21</v>
      </c>
    </row>
    <row r="9" spans="1:12" x14ac:dyDescent="0.25">
      <c r="A9" s="6" t="str">
        <f t="shared" si="2"/>
        <v>lami-9-meson</v>
      </c>
      <c r="B9" s="7" t="s">
        <v>19</v>
      </c>
      <c r="C9" s="7" t="s">
        <v>23</v>
      </c>
      <c r="D9" s="8">
        <v>600</v>
      </c>
      <c r="E9" s="8">
        <v>100</v>
      </c>
      <c r="F9" s="8">
        <v>15</v>
      </c>
      <c r="G9" s="8" t="s">
        <v>14</v>
      </c>
      <c r="H9" s="9">
        <v>3</v>
      </c>
      <c r="I9" s="8">
        <f t="shared" si="0"/>
        <v>0.06</v>
      </c>
      <c r="J9" s="11">
        <v>950000</v>
      </c>
      <c r="K9" s="7">
        <f t="shared" si="1"/>
        <v>18525000</v>
      </c>
      <c r="L9" t="s">
        <v>21</v>
      </c>
    </row>
    <row r="10" spans="1:12" x14ac:dyDescent="0.25">
      <c r="A10" s="1" t="str">
        <f t="shared" si="2"/>
        <v>lami-10-meson</v>
      </c>
      <c r="B10" s="2" t="s">
        <v>19</v>
      </c>
      <c r="C10" s="2" t="s">
        <v>65</v>
      </c>
      <c r="D10" s="4">
        <v>600</v>
      </c>
      <c r="E10" s="4">
        <v>100</v>
      </c>
      <c r="F10" s="4">
        <v>3</v>
      </c>
      <c r="G10" s="4" t="s">
        <v>14</v>
      </c>
      <c r="H10" s="10">
        <v>3</v>
      </c>
      <c r="I10" s="4">
        <f t="shared" si="0"/>
        <v>0.06</v>
      </c>
      <c r="J10" s="12">
        <v>290000</v>
      </c>
      <c r="K10" s="2">
        <f t="shared" si="1"/>
        <v>5655000</v>
      </c>
      <c r="L10" s="3" t="s">
        <v>70</v>
      </c>
    </row>
    <row r="21" spans="7:7" x14ac:dyDescent="0.25">
      <c r="G21" s="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ED75-53D9-4556-8BE0-6CDFEDCE505C}">
  <dimension ref="A1:O13"/>
  <sheetViews>
    <sheetView tabSelected="1" zoomScale="55" zoomScaleNormal="55" workbookViewId="0">
      <selection activeCell="A2" sqref="A2:XFD2"/>
    </sheetView>
  </sheetViews>
  <sheetFormatPr baseColWidth="10" defaultRowHeight="15" x14ac:dyDescent="0.25"/>
  <cols>
    <col min="1" max="1" width="14" bestFit="1" customWidth="1"/>
    <col min="3" max="3" width="34.85546875" bestFit="1" customWidth="1"/>
    <col min="7" max="7" width="19.140625" customWidth="1"/>
    <col min="8" max="8" width="16.28515625" bestFit="1" customWidth="1"/>
    <col min="9" max="9" width="42.28515625" bestFit="1" customWidth="1"/>
    <col min="10" max="10" width="22.7109375" bestFit="1" customWidth="1"/>
    <col min="11" max="11" width="24.28515625" bestFit="1" customWidth="1"/>
    <col min="12" max="12" width="24.85546875" bestFit="1" customWidth="1"/>
    <col min="13" max="13" width="25.140625" bestFit="1" customWidth="1"/>
    <col min="14" max="14" width="32.42578125" bestFit="1" customWidth="1"/>
    <col min="15" max="15" width="37" customWidth="1"/>
  </cols>
  <sheetData>
    <row r="1" spans="1:15" x14ac:dyDescent="0.25">
      <c r="A1" s="15" t="s">
        <v>0</v>
      </c>
      <c r="B1" s="16" t="s">
        <v>1</v>
      </c>
      <c r="C1" s="16" t="s">
        <v>58</v>
      </c>
      <c r="D1" t="s">
        <v>71</v>
      </c>
      <c r="E1" t="s">
        <v>72</v>
      </c>
      <c r="F1" t="s">
        <v>73</v>
      </c>
      <c r="G1" s="15" t="s">
        <v>6</v>
      </c>
      <c r="H1" s="15" t="s">
        <v>45</v>
      </c>
      <c r="I1" s="15" t="s">
        <v>43</v>
      </c>
      <c r="J1" s="15" t="s">
        <v>44</v>
      </c>
      <c r="K1" s="15" t="s">
        <v>48</v>
      </c>
      <c r="L1" s="16" t="s">
        <v>42</v>
      </c>
      <c r="M1" s="16" t="s">
        <v>41</v>
      </c>
      <c r="N1" s="15" t="s">
        <v>24</v>
      </c>
      <c r="O1" s="15" t="s">
        <v>64</v>
      </c>
    </row>
    <row r="2" spans="1:15" x14ac:dyDescent="0.25">
      <c r="A2" s="2" t="str">
        <f t="shared" ref="A2:A11" si="0">"atri-"  &amp; ROW() &amp;"-"&amp; LEFT(B2,5)</f>
        <v>atri-2-herra</v>
      </c>
      <c r="B2" s="2" t="s">
        <v>25</v>
      </c>
      <c r="C2" s="2" t="s">
        <v>26</v>
      </c>
      <c r="D2" s="4">
        <v>90</v>
      </c>
      <c r="E2" s="4"/>
      <c r="F2" s="4">
        <v>500</v>
      </c>
      <c r="G2" s="4" t="s">
        <v>27</v>
      </c>
      <c r="H2" s="3"/>
      <c r="I2" s="3" t="s">
        <v>28</v>
      </c>
      <c r="J2" s="3"/>
      <c r="K2" s="3"/>
      <c r="L2" s="2">
        <v>238000</v>
      </c>
      <c r="M2" s="2">
        <f t="shared" ref="M2:M12" si="1">L2*0.25</f>
        <v>59500</v>
      </c>
      <c r="N2" s="12">
        <f>bt_productos_atributos[[#This Row],[valor_agregado]]+bt_productos_atributos[[#This Row],[valor_producto]]</f>
        <v>297500</v>
      </c>
      <c r="O2" s="12"/>
    </row>
    <row r="3" spans="1:15" x14ac:dyDescent="0.25">
      <c r="A3" s="7" t="str">
        <f t="shared" si="0"/>
        <v>atri-3-herra</v>
      </c>
      <c r="B3" s="7" t="s">
        <v>25</v>
      </c>
      <c r="C3" s="7" t="s">
        <v>26</v>
      </c>
      <c r="D3" s="8">
        <v>130</v>
      </c>
      <c r="E3" s="8"/>
      <c r="F3" s="8">
        <v>500</v>
      </c>
      <c r="G3" s="8" t="s">
        <v>27</v>
      </c>
      <c r="H3" t="s">
        <v>59</v>
      </c>
      <c r="I3" t="s">
        <v>46</v>
      </c>
      <c r="J3" t="s">
        <v>47</v>
      </c>
      <c r="L3" s="7">
        <v>262000</v>
      </c>
      <c r="M3" s="7">
        <f t="shared" si="1"/>
        <v>65500</v>
      </c>
      <c r="N3" s="11">
        <f>bt_productos_atributos[[#This Row],[valor_agregado]]+bt_productos_atributos[[#This Row],[valor_producto]]</f>
        <v>327500</v>
      </c>
      <c r="O3" s="11"/>
    </row>
    <row r="4" spans="1:15" x14ac:dyDescent="0.25">
      <c r="A4" s="2" t="str">
        <f t="shared" si="0"/>
        <v>atri-4-herra</v>
      </c>
      <c r="B4" s="2" t="s">
        <v>25</v>
      </c>
      <c r="C4" s="2" t="s">
        <v>26</v>
      </c>
      <c r="D4" s="4">
        <v>180</v>
      </c>
      <c r="E4" s="4"/>
      <c r="F4" s="4">
        <v>500</v>
      </c>
      <c r="G4" s="4" t="s">
        <v>27</v>
      </c>
      <c r="H4" s="3"/>
      <c r="I4" s="3" t="s">
        <v>29</v>
      </c>
      <c r="J4" t="s">
        <v>47</v>
      </c>
      <c r="K4" s="3"/>
      <c r="L4" s="12">
        <v>286000</v>
      </c>
      <c r="M4" s="2">
        <f t="shared" si="1"/>
        <v>71500</v>
      </c>
      <c r="N4" s="12">
        <f>bt_productos_atributos[[#This Row],[valor_agregado]]+bt_productos_atributos[[#This Row],[valor_producto]]</f>
        <v>357500</v>
      </c>
      <c r="O4" s="12"/>
    </row>
    <row r="5" spans="1:15" x14ac:dyDescent="0.25">
      <c r="A5" s="7" t="str">
        <f t="shared" si="0"/>
        <v>atri-5-herra</v>
      </c>
      <c r="B5" s="7" t="s">
        <v>25</v>
      </c>
      <c r="C5" s="7" t="s">
        <v>30</v>
      </c>
      <c r="D5" s="8">
        <v>63</v>
      </c>
      <c r="E5" s="8"/>
      <c r="F5" s="8">
        <v>500</v>
      </c>
      <c r="G5" s="8" t="s">
        <v>27</v>
      </c>
      <c r="H5" s="13" t="s">
        <v>53</v>
      </c>
      <c r="I5" s="13" t="s">
        <v>57</v>
      </c>
      <c r="J5" s="13" t="s">
        <v>52</v>
      </c>
      <c r="K5" s="13" t="s">
        <v>56</v>
      </c>
      <c r="L5" s="11">
        <v>45000</v>
      </c>
      <c r="M5" s="7">
        <f t="shared" si="1"/>
        <v>11250</v>
      </c>
      <c r="N5" s="11">
        <f>bt_productos_atributos[[#This Row],[valor_agregado]]+bt_productos_atributos[[#This Row],[valor_producto]]</f>
        <v>56250</v>
      </c>
      <c r="O5" s="11"/>
    </row>
    <row r="6" spans="1:15" x14ac:dyDescent="0.25">
      <c r="A6" s="2" t="str">
        <f t="shared" si="0"/>
        <v>atri-6-herra</v>
      </c>
      <c r="B6" s="2" t="s">
        <v>25</v>
      </c>
      <c r="C6" s="2" t="s">
        <v>30</v>
      </c>
      <c r="D6" s="4">
        <v>15</v>
      </c>
      <c r="E6" s="4"/>
      <c r="F6" s="4">
        <v>500</v>
      </c>
      <c r="G6" s="4" t="s">
        <v>27</v>
      </c>
      <c r="H6" s="14" t="s">
        <v>53</v>
      </c>
      <c r="I6" s="14" t="s">
        <v>55</v>
      </c>
      <c r="J6" s="14" t="s">
        <v>52</v>
      </c>
      <c r="K6" s="14" t="s">
        <v>54</v>
      </c>
      <c r="L6" s="12">
        <v>75000</v>
      </c>
      <c r="M6" s="2">
        <f t="shared" si="1"/>
        <v>18750</v>
      </c>
      <c r="N6" s="12">
        <f>bt_productos_atributos[[#This Row],[valor_agregado]]+bt_productos_atributos[[#This Row],[valor_producto]]</f>
        <v>93750</v>
      </c>
      <c r="O6" s="12"/>
    </row>
    <row r="7" spans="1:15" x14ac:dyDescent="0.25">
      <c r="A7" s="7" t="str">
        <f t="shared" si="0"/>
        <v>atri-7-herra</v>
      </c>
      <c r="B7" s="7" t="s">
        <v>25</v>
      </c>
      <c r="C7" s="7" t="s">
        <v>31</v>
      </c>
      <c r="D7" s="8">
        <v>88</v>
      </c>
      <c r="E7" s="8" t="s">
        <v>32</v>
      </c>
      <c r="F7" s="8">
        <v>500</v>
      </c>
      <c r="G7" s="8" t="s">
        <v>27</v>
      </c>
      <c r="J7" t="s">
        <v>51</v>
      </c>
      <c r="K7" t="s">
        <v>50</v>
      </c>
      <c r="L7" s="11">
        <v>185000</v>
      </c>
      <c r="M7" s="7">
        <f t="shared" si="1"/>
        <v>46250</v>
      </c>
      <c r="N7" s="11">
        <f>bt_productos_atributos[[#This Row],[valor_agregado]]+bt_productos_atributos[[#This Row],[valor_producto]]</f>
        <v>231250</v>
      </c>
      <c r="O7" s="11"/>
    </row>
    <row r="8" spans="1:15" x14ac:dyDescent="0.25">
      <c r="A8" s="2" t="str">
        <f t="shared" si="0"/>
        <v>atri-8-herra</v>
      </c>
      <c r="B8" s="2" t="s">
        <v>25</v>
      </c>
      <c r="C8" s="2" t="s">
        <v>33</v>
      </c>
      <c r="D8" s="4"/>
      <c r="E8" s="4"/>
      <c r="F8" s="4">
        <v>450</v>
      </c>
      <c r="G8" s="4" t="s">
        <v>27</v>
      </c>
      <c r="H8" s="3"/>
      <c r="I8" s="3"/>
      <c r="J8" s="3" t="s">
        <v>52</v>
      </c>
      <c r="K8" s="3" t="s">
        <v>49</v>
      </c>
      <c r="L8" s="12">
        <v>22000</v>
      </c>
      <c r="M8" s="2">
        <f t="shared" si="1"/>
        <v>5500</v>
      </c>
      <c r="N8" s="12">
        <f>bt_productos_atributos[[#This Row],[valor_agregado]]+bt_productos_atributos[[#This Row],[valor_producto]]</f>
        <v>27500</v>
      </c>
      <c r="O8" s="12"/>
    </row>
    <row r="9" spans="1:15" x14ac:dyDescent="0.25">
      <c r="A9" s="7" t="str">
        <f t="shared" si="0"/>
        <v>atri-9-herra</v>
      </c>
      <c r="B9" s="7" t="s">
        <v>25</v>
      </c>
      <c r="C9" s="7" t="s">
        <v>34</v>
      </c>
      <c r="D9" s="8"/>
      <c r="E9" s="8"/>
      <c r="F9" s="8"/>
      <c r="G9" s="8"/>
      <c r="L9" s="11">
        <v>60000</v>
      </c>
      <c r="M9" s="7">
        <f t="shared" si="1"/>
        <v>15000</v>
      </c>
      <c r="N9" s="11">
        <f>bt_productos_atributos[[#This Row],[valor_agregado]]+bt_productos_atributos[[#This Row],[valor_producto]]</f>
        <v>75000</v>
      </c>
      <c r="O9" s="11"/>
    </row>
    <row r="10" spans="1:15" x14ac:dyDescent="0.25">
      <c r="A10" s="2" t="str">
        <f t="shared" si="0"/>
        <v>atri-10-acces</v>
      </c>
      <c r="B10" s="2" t="s">
        <v>35</v>
      </c>
      <c r="C10" s="2" t="s">
        <v>36</v>
      </c>
      <c r="D10" s="4">
        <v>50</v>
      </c>
      <c r="E10" s="4">
        <v>50</v>
      </c>
      <c r="F10" s="4">
        <v>50</v>
      </c>
      <c r="G10" s="4" t="s">
        <v>37</v>
      </c>
      <c r="H10" s="3"/>
      <c r="I10" s="3"/>
      <c r="J10" s="3"/>
      <c r="K10" s="3"/>
      <c r="L10" s="12">
        <v>10000</v>
      </c>
      <c r="M10" s="2">
        <f t="shared" si="1"/>
        <v>2500</v>
      </c>
      <c r="N10" s="12">
        <f>bt_productos_atributos[[#This Row],[valor_agregado]]+bt_productos_atributos[[#This Row],[valor_producto]]</f>
        <v>12500</v>
      </c>
      <c r="O10" s="12"/>
    </row>
    <row r="11" spans="1:15" x14ac:dyDescent="0.25">
      <c r="A11" s="7" t="str">
        <f t="shared" si="0"/>
        <v>atri-11-mater</v>
      </c>
      <c r="B11" s="7" t="s">
        <v>38</v>
      </c>
      <c r="C11" s="7" t="s">
        <v>39</v>
      </c>
      <c r="D11" s="8">
        <v>100</v>
      </c>
      <c r="E11" s="8">
        <v>100</v>
      </c>
      <c r="F11" s="8">
        <v>0.8</v>
      </c>
      <c r="G11" s="8" t="s">
        <v>37</v>
      </c>
      <c r="I11" t="s">
        <v>40</v>
      </c>
      <c r="L11" s="11">
        <v>70000</v>
      </c>
      <c r="M11" s="7">
        <f t="shared" si="1"/>
        <v>17500</v>
      </c>
      <c r="N11" s="11">
        <f>bt_productos_atributos[[#This Row],[valor_agregado]]+bt_productos_atributos[[#This Row],[valor_producto]]</f>
        <v>87500</v>
      </c>
      <c r="O11" s="11"/>
    </row>
    <row r="12" spans="1:15" x14ac:dyDescent="0.25">
      <c r="A12" s="7" t="str">
        <f>"atri-"  &amp; ROW() &amp;"-"&amp; LEFT(B12,5)</f>
        <v>atri-12-acces</v>
      </c>
      <c r="B12" s="2" t="s">
        <v>35</v>
      </c>
      <c r="C12" s="7" t="s">
        <v>62</v>
      </c>
      <c r="D12" s="8"/>
      <c r="E12" s="8">
        <v>86</v>
      </c>
      <c r="F12" s="8"/>
      <c r="G12" s="8" t="s">
        <v>37</v>
      </c>
      <c r="H12" s="8" t="s">
        <v>61</v>
      </c>
      <c r="I12" t="s">
        <v>60</v>
      </c>
      <c r="K12" t="s">
        <v>63</v>
      </c>
      <c r="L12" s="17">
        <v>1819900</v>
      </c>
      <c r="M12" s="7">
        <f t="shared" si="1"/>
        <v>454975</v>
      </c>
      <c r="N12" s="11">
        <f>bt_productos_atributos[[#This Row],[valor_agregado]]+bt_productos_atributos[[#This Row],[valor_producto]]</f>
        <v>2274875</v>
      </c>
      <c r="O12" s="11"/>
    </row>
    <row r="13" spans="1:15" x14ac:dyDescent="0.25">
      <c r="A13" s="7" t="str">
        <f>"atri-"  &amp; ROW() &amp;"-"&amp; LEFT(B13,5)</f>
        <v>atri-13-acces</v>
      </c>
      <c r="B13" s="2" t="s">
        <v>35</v>
      </c>
      <c r="C13" s="7" t="s">
        <v>66</v>
      </c>
      <c r="D13" s="8">
        <v>57</v>
      </c>
      <c r="E13" s="8">
        <v>40</v>
      </c>
      <c r="F13" s="8">
        <v>17</v>
      </c>
      <c r="G13" s="8" t="s">
        <v>37</v>
      </c>
      <c r="H13" s="8" t="s">
        <v>67</v>
      </c>
      <c r="I13" t="s">
        <v>68</v>
      </c>
      <c r="J13" t="s">
        <v>68</v>
      </c>
      <c r="K13" t="s">
        <v>69</v>
      </c>
      <c r="L13" s="11">
        <v>170000</v>
      </c>
      <c r="M13" s="7">
        <f>L13*0.25</f>
        <v>42500</v>
      </c>
      <c r="N13" s="11">
        <f>bt_productos_atributos[[#This Row],[valor_agregado]]+bt_productos_atributos[[#This Row],[valor_producto]]</f>
        <v>212500</v>
      </c>
      <c r="O13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D798-A7A0-4571-BDA3-41FAA19D1D8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productos_laminares</vt:lpstr>
      <vt:lpstr>productos_atributos</vt:lpstr>
      <vt:lpstr>modulos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</dc:creator>
  <cp:lastModifiedBy>javier garcia</cp:lastModifiedBy>
  <dcterms:created xsi:type="dcterms:W3CDTF">2024-05-30T20:42:47Z</dcterms:created>
  <dcterms:modified xsi:type="dcterms:W3CDTF">2024-10-14T00:56:21Z</dcterms:modified>
</cp:coreProperties>
</file>