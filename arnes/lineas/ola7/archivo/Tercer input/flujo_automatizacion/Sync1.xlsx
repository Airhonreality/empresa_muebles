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Herramientas del servicio\flujo_automatizacion\"/>
    </mc:Choice>
  </mc:AlternateContent>
  <xr:revisionPtr revIDLastSave="0" documentId="13_ncr:1_{7A761F97-8995-419E-A8C9-8D624EF64C70}" xr6:coauthVersionLast="47" xr6:coauthVersionMax="47" xr10:uidLastSave="{00000000-0000-0000-0000-000000000000}"/>
  <bookViews>
    <workbookView xWindow="14295" yWindow="0" windowWidth="14610" windowHeight="15585" activeTab="1" xr2:uid="{1D860951-AE9B-4A1E-B55E-DFB6AE1BE0BA}"/>
  </bookViews>
  <sheets>
    <sheet name="sync3" sheetId="2" r:id="rId1"/>
    <sheet name="sync2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M2" i="2"/>
  <c r="A2" i="2"/>
  <c r="N2" i="1"/>
  <c r="M2" i="1"/>
  <c r="A2" i="1"/>
</calcChain>
</file>

<file path=xl/sharedStrings.xml><?xml version="1.0" encoding="utf-8"?>
<sst xmlns="http://schemas.openxmlformats.org/spreadsheetml/2006/main" count="46" uniqueCount="24">
  <si>
    <t>#medida_ancho</t>
  </si>
  <si>
    <t>#medida_alto</t>
  </si>
  <si>
    <t>#medida_profundo</t>
  </si>
  <si>
    <t>#imagen</t>
  </si>
  <si>
    <t>herraje</t>
  </si>
  <si>
    <t>mm</t>
  </si>
  <si>
    <t>blum</t>
  </si>
  <si>
    <t>codigo</t>
  </si>
  <si>
    <t>tipo</t>
  </si>
  <si>
    <t>proveedor</t>
  </si>
  <si>
    <t>codigo_scu</t>
  </si>
  <si>
    <t>valor_producto</t>
  </si>
  <si>
    <t>valor_agregado</t>
  </si>
  <si>
    <t>#nombre_atributo</t>
  </si>
  <si>
    <t>#descripcion</t>
  </si>
  <si>
    <t>#marca</t>
  </si>
  <si>
    <t>#precio_total_atributo</t>
  </si>
  <si>
    <t>#unidad_de_medida</t>
  </si>
  <si>
    <t>#imagen_2</t>
  </si>
  <si>
    <t>#imagen_3</t>
  </si>
  <si>
    <t>https://definicion.com/wp-content/uploads/2022/09/imagen.jpg</t>
  </si>
  <si>
    <t>ideal para espacios de  alto lujo</t>
  </si>
  <si>
    <t>costado del rey</t>
  </si>
  <si>
    <t>rutiruitititit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</si>
</sst>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4" fontId="0" fillId="2" borderId="0" xfId="1" applyFont="1" applyFill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44" fontId="0" fillId="2" borderId="0" xfId="0" applyNumberFormat="1" applyFill="1"/>
    <xf numFmtId="0" fontId="0" fillId="2" borderId="0" xfId="0" applyFill="1" applyAlignment="1">
      <alignment wrapText="1"/>
    </xf>
    <xf numFmtId="49" fontId="3" fillId="2" borderId="0" xfId="2" applyNumberFormat="1" applyFill="1"/>
  </cellXfs>
  <cellStyles count="3">
    <cellStyle name="Hipervínculo" xfId="2" builtinId="8"/>
    <cellStyle name="Moneda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i%20unidad\Herramientas%20del%20servicio\flujo_automatizacion\bt_productos.xlsx" TargetMode="External"/><Relationship Id="rId1" Type="http://schemas.openxmlformats.org/officeDocument/2006/relationships/externalLinkPath" Target="bt_produc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os_laminares"/>
      <sheetName val="productos_atributos"/>
      <sheetName val="modulos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A359F5-0B42-4DC7-99AF-82EAAADBE664}" name="sync1233" displayName="sync1233" ref="E1:Q3" totalsRowShown="0" headerRowDxfId="7">
  <autoFilter ref="E1:Q3" xr:uid="{E8ADEA17-16A0-4BE6-89F4-3E083D45D0E6}"/>
  <tableColumns count="13">
    <tableColumn id="1" xr3:uid="{90370241-ED1B-499B-9694-1298862B9BBA}" name="#medida_alto" dataDxfId="6"/>
    <tableColumn id="2" xr3:uid="{1BBCC558-DE1A-4FDC-AE0D-BA0A536ECAEC}" name="#medida_profundo" dataDxfId="5"/>
    <tableColumn id="3" xr3:uid="{258DCB32-084F-4F48-8ECD-D5549B3C822F}" name="#unidad_de_medida" dataDxfId="4"/>
    <tableColumn id="4" xr3:uid="{BA5604F8-3AC9-4C75-9B4D-B0F93ADA778E}" name="#descripcion"/>
    <tableColumn id="5" xr3:uid="{F8771688-6E3A-4FC6-A01A-8BE0FC7E5591}" name="#marca" dataDxfId="3"/>
    <tableColumn id="6" xr3:uid="{6C44A555-8814-45AF-8DF8-DED08AF6723C}" name="proveedor" dataDxfId="2"/>
    <tableColumn id="7" xr3:uid="{DCCC4C6E-9905-4EB5-9315-14814123D0AE}" name="codigo_scu" dataDxfId="1"/>
    <tableColumn id="8" xr3:uid="{A1BB2002-7E13-4E78-8401-E2CBE472F52A}" name="valor_producto"/>
    <tableColumn id="9" xr3:uid="{53C15AA1-FE4D-4D52-B443-4DD56339ADD1}" name="valor_agregado" dataDxfId="0" dataCellStyle="Moneda"/>
    <tableColumn id="10" xr3:uid="{159EC17F-E1D2-4C04-A4FF-D4EFE65BAD69}" name="#precio_total_atributo"/>
    <tableColumn id="11" xr3:uid="{353A64EB-68EF-4897-B3A8-AA683F42250C}" name="#imagen"/>
    <tableColumn id="12" xr3:uid="{B03B52E8-C283-4097-BBFC-CA91ADFA511F}" name="#imagen_2"/>
    <tableColumn id="13" xr3:uid="{156B8FE0-0467-4C39-94B1-A554B5CCF44F}" name="#imagen_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ADEA17-16A0-4BE6-89F4-3E083D45D0E6}" name="sync123" displayName="sync123" ref="E1:Q3" totalsRowShown="0" headerRowDxfId="8">
  <autoFilter ref="E1:Q3" xr:uid="{E8ADEA17-16A0-4BE6-89F4-3E083D45D0E6}"/>
  <tableColumns count="13">
    <tableColumn id="1" xr3:uid="{25E6BBDB-EB15-4341-A714-69C7C1F220E1}" name="#medida_alto" dataDxfId="15"/>
    <tableColumn id="2" xr3:uid="{3DF6AA74-57B7-4F1C-B8A9-A6B7C7BCA3C2}" name="#medida_profundo" dataDxfId="14"/>
    <tableColumn id="3" xr3:uid="{0D3C0CA8-26BB-422F-9775-C33CAE145BDC}" name="#unidad_de_medida" dataDxfId="13"/>
    <tableColumn id="4" xr3:uid="{49266DB3-D663-4DDD-9275-D4A6E3B41B3A}" name="#descripcion"/>
    <tableColumn id="5" xr3:uid="{6EB13DE5-BA24-494C-9B1D-236B5912C489}" name="#marca" dataDxfId="12"/>
    <tableColumn id="6" xr3:uid="{5F4C127D-55E4-4368-BB00-8F827C27B4BB}" name="proveedor" dataDxfId="11"/>
    <tableColumn id="7" xr3:uid="{33D26F4C-6520-4292-82DF-FD85CAC68389}" name="codigo_scu" dataDxfId="10"/>
    <tableColumn id="8" xr3:uid="{A0420ECB-8E24-4AD2-A6AA-0BEB282574EA}" name="valor_producto"/>
    <tableColumn id="9" xr3:uid="{96D1B3B4-677A-41FB-92DA-1691537CEC07}" name="valor_agregado" dataDxfId="9" dataCellStyle="Moneda"/>
    <tableColumn id="10" xr3:uid="{8D1637E9-2A6D-4FAE-AF43-C14AD082D784}" name="#precio_total_atributo"/>
    <tableColumn id="11" xr3:uid="{6681082C-E7AE-495E-B173-D8ED7F509FCE}" name="#imagen"/>
    <tableColumn id="12" xr3:uid="{7208067E-549D-42B2-BCE5-0ADD549EC5A6}" name="#imagen_2"/>
    <tableColumn id="13" xr3:uid="{F65576C9-46F9-4296-A43A-5DAF943BBCB3}" name="#imagen_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finicion.com/wp-content/uploads/2022/09/imagen.jp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efinicion.com/wp-content/uploads/2022/09/image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EA99-03F5-4EEF-95FF-D77D2338F189}">
  <dimension ref="A1:Q3"/>
  <sheetViews>
    <sheetView topLeftCell="E1" zoomScale="55" zoomScaleNormal="55" workbookViewId="0">
      <selection activeCell="H28" sqref="H28"/>
    </sheetView>
  </sheetViews>
  <sheetFormatPr baseColWidth="10" defaultRowHeight="15" x14ac:dyDescent="0.25"/>
  <cols>
    <col min="1" max="1" width="26.5703125" bestFit="1" customWidth="1"/>
    <col min="2" max="2" width="25.28515625" customWidth="1"/>
    <col min="3" max="3" width="17.140625" bestFit="1" customWidth="1"/>
    <col min="4" max="4" width="13" bestFit="1" customWidth="1"/>
    <col min="5" max="5" width="17.85546875" bestFit="1" customWidth="1"/>
    <col min="6" max="6" width="21.85546875" customWidth="1"/>
    <col min="7" max="7" width="27.5703125" customWidth="1"/>
    <col min="8" max="8" width="29.5703125" bestFit="1" customWidth="1"/>
    <col min="9" max="9" width="12.140625" customWidth="1"/>
    <col min="10" max="10" width="15.85546875" customWidth="1"/>
    <col min="11" max="11" width="17.42578125" customWidth="1"/>
    <col min="12" max="12" width="22.140625" customWidth="1"/>
    <col min="13" max="13" width="22.28515625" customWidth="1"/>
    <col min="14" max="14" width="31.42578125" customWidth="1"/>
    <col min="15" max="15" width="60" bestFit="1" customWidth="1"/>
    <col min="16" max="17" width="16.5703125" customWidth="1"/>
  </cols>
  <sheetData>
    <row r="1" spans="1:17" x14ac:dyDescent="0.25">
      <c r="A1" s="4" t="s">
        <v>7</v>
      </c>
      <c r="B1" s="5" t="s">
        <v>8</v>
      </c>
      <c r="C1" s="5" t="s">
        <v>13</v>
      </c>
      <c r="D1" t="s">
        <v>0</v>
      </c>
      <c r="E1" t="s">
        <v>1</v>
      </c>
      <c r="F1" t="s">
        <v>2</v>
      </c>
      <c r="G1" s="4" t="s">
        <v>17</v>
      </c>
      <c r="H1" s="4" t="s">
        <v>14</v>
      </c>
      <c r="I1" s="4" t="s">
        <v>15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16</v>
      </c>
      <c r="O1" s="4" t="s">
        <v>3</v>
      </c>
      <c r="P1" s="4" t="s">
        <v>18</v>
      </c>
      <c r="Q1" s="4" t="s">
        <v>19</v>
      </c>
    </row>
    <row r="2" spans="1:17" x14ac:dyDescent="0.25">
      <c r="A2" s="1" t="str">
        <f t="shared" ref="A2" si="0">"atri-"  &amp; ROW() &amp;"-"&amp; LEFT(B2,5)</f>
        <v>atri-2-herra</v>
      </c>
      <c r="B2" s="1" t="s">
        <v>4</v>
      </c>
      <c r="C2" s="1" t="s">
        <v>22</v>
      </c>
      <c r="D2" s="2">
        <v>90</v>
      </c>
      <c r="E2" s="2">
        <v>70</v>
      </c>
      <c r="F2" s="2">
        <v>25</v>
      </c>
      <c r="G2" s="2" t="s">
        <v>5</v>
      </c>
      <c r="H2" s="7" t="s">
        <v>21</v>
      </c>
      <c r="I2" s="3" t="s">
        <v>6</v>
      </c>
      <c r="J2" s="3"/>
      <c r="K2" s="3"/>
      <c r="L2" s="1">
        <v>238000</v>
      </c>
      <c r="M2" s="1">
        <f t="shared" ref="M2" si="1">L2*0.25</f>
        <v>59500</v>
      </c>
      <c r="N2" s="6">
        <f>[1]!bt_productos_atributos[[#This Row],[valor_agregado]]+[1]!bt_productos_atributos[[#This Row],[valor_producto]]</f>
        <v>297500</v>
      </c>
      <c r="O2" s="8" t="s">
        <v>20</v>
      </c>
    </row>
    <row r="3" spans="1:17" x14ac:dyDescent="0.25">
      <c r="A3" s="1"/>
      <c r="B3" s="1"/>
      <c r="C3" s="1"/>
      <c r="D3" s="2"/>
      <c r="E3" s="2"/>
      <c r="F3" s="2"/>
      <c r="G3" s="2"/>
      <c r="H3" s="3"/>
      <c r="I3" s="3"/>
      <c r="J3" s="3"/>
      <c r="K3" s="3"/>
      <c r="L3" s="2"/>
      <c r="M3" s="1"/>
      <c r="N3" s="1"/>
      <c r="O3" s="6"/>
      <c r="P3" s="6"/>
    </row>
  </sheetData>
  <hyperlinks>
    <hyperlink ref="O2" r:id="rId1" xr:uid="{8B4A19C1-D783-4F35-8F04-C788A94F4200}"/>
  </hyperlinks>
  <pageMargins left="0.7" right="0.7" top="0.75" bottom="0.75" header="0.3" footer="0.3"/>
  <pageSetup paperSize="9" orientation="portrait" horizontalDpi="360" verticalDpi="36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3A17-99FA-485D-B525-AC0FBC7824F8}">
  <dimension ref="A1:Q3"/>
  <sheetViews>
    <sheetView tabSelected="1" zoomScaleNormal="100" workbookViewId="0">
      <selection activeCell="B26" sqref="B26"/>
    </sheetView>
  </sheetViews>
  <sheetFormatPr baseColWidth="10" defaultRowHeight="15" x14ac:dyDescent="0.25"/>
  <cols>
    <col min="1" max="1" width="26.5703125" bestFit="1" customWidth="1"/>
    <col min="2" max="2" width="25.28515625" customWidth="1"/>
    <col min="3" max="3" width="17.140625" bestFit="1" customWidth="1"/>
    <col min="4" max="4" width="13" bestFit="1" customWidth="1"/>
    <col min="5" max="5" width="17.85546875" bestFit="1" customWidth="1"/>
    <col min="6" max="6" width="21.85546875" customWidth="1"/>
    <col min="7" max="7" width="27.5703125" customWidth="1"/>
    <col min="8" max="8" width="29.5703125" bestFit="1" customWidth="1"/>
    <col min="9" max="9" width="12.140625" customWidth="1"/>
    <col min="10" max="10" width="15.85546875" customWidth="1"/>
    <col min="11" max="11" width="17.42578125" customWidth="1"/>
    <col min="12" max="12" width="22.140625" customWidth="1"/>
    <col min="13" max="13" width="22.28515625" customWidth="1"/>
    <col min="14" max="14" width="31.42578125" customWidth="1"/>
    <col min="15" max="15" width="60" bestFit="1" customWidth="1"/>
    <col min="16" max="17" width="16.5703125" customWidth="1"/>
  </cols>
  <sheetData>
    <row r="1" spans="1:17" x14ac:dyDescent="0.25">
      <c r="A1" s="4" t="s">
        <v>7</v>
      </c>
      <c r="B1" s="5" t="s">
        <v>8</v>
      </c>
      <c r="C1" s="5" t="s">
        <v>13</v>
      </c>
      <c r="D1" t="s">
        <v>0</v>
      </c>
      <c r="E1" t="s">
        <v>1</v>
      </c>
      <c r="F1" t="s">
        <v>2</v>
      </c>
      <c r="G1" s="4" t="s">
        <v>17</v>
      </c>
      <c r="H1" s="4" t="s">
        <v>14</v>
      </c>
      <c r="I1" s="4" t="s">
        <v>15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16</v>
      </c>
      <c r="O1" s="4" t="s">
        <v>3</v>
      </c>
      <c r="P1" s="4" t="s">
        <v>18</v>
      </c>
      <c r="Q1" s="4" t="s">
        <v>19</v>
      </c>
    </row>
    <row r="2" spans="1:17" x14ac:dyDescent="0.25">
      <c r="A2" s="1" t="str">
        <f t="shared" ref="A2" si="0">"atri-"  &amp; ROW() &amp;"-"&amp; LEFT(B2,5)</f>
        <v>atri-2-herra</v>
      </c>
      <c r="B2" s="1" t="s">
        <v>4</v>
      </c>
      <c r="C2" s="1" t="s">
        <v>23</v>
      </c>
      <c r="D2" s="2">
        <v>85</v>
      </c>
      <c r="E2" s="2">
        <v>89</v>
      </c>
      <c r="F2" s="2">
        <v>89</v>
      </c>
      <c r="G2" s="2" t="s">
        <v>5</v>
      </c>
      <c r="H2" s="7" t="s">
        <v>21</v>
      </c>
      <c r="I2" s="3" t="s">
        <v>6</v>
      </c>
      <c r="J2" s="3"/>
      <c r="K2" s="3"/>
      <c r="L2" s="1">
        <v>238000</v>
      </c>
      <c r="M2" s="1">
        <f t="shared" ref="M2" si="1">L2*0.25</f>
        <v>59500</v>
      </c>
      <c r="N2" s="6">
        <f>[1]!bt_productos_atributos[[#This Row],[valor_agregado]]+[1]!bt_productos_atributos[[#This Row],[valor_producto]]</f>
        <v>297500</v>
      </c>
      <c r="O2" s="8" t="s">
        <v>20</v>
      </c>
    </row>
    <row r="3" spans="1:17" x14ac:dyDescent="0.25">
      <c r="A3" s="1"/>
      <c r="B3" s="1"/>
      <c r="C3" s="1"/>
      <c r="D3" s="2"/>
      <c r="E3" s="2"/>
      <c r="F3" s="2"/>
      <c r="G3" s="2"/>
      <c r="H3" s="3"/>
      <c r="I3" s="3"/>
      <c r="J3" s="3"/>
      <c r="K3" s="3"/>
      <c r="L3" s="2"/>
      <c r="M3" s="1"/>
      <c r="N3" s="1"/>
      <c r="O3" s="6"/>
      <c r="P3" s="6"/>
    </row>
  </sheetData>
  <hyperlinks>
    <hyperlink ref="O2" r:id="rId1" xr:uid="{C59559BF-1646-4F20-8F34-A65E24A39D01}"/>
  </hyperlinks>
  <pageMargins left="0.7" right="0.7" top="0.75" bottom="0.75" header="0.3" footer="0.3"/>
  <pageSetup paperSize="9" orientation="portrait" horizontalDpi="360" verticalDpi="36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sync3</vt:lpstr>
      <vt:lpstr>sync2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garcia</dc:creator>
  <cp:lastModifiedBy>javier garcia</cp:lastModifiedBy>
  <dcterms:created xsi:type="dcterms:W3CDTF">2024-10-12T18:36:05Z</dcterms:created>
  <dcterms:modified xsi:type="dcterms:W3CDTF">2024-10-14T00:55:40Z</dcterms:modified>
</cp:coreProperties>
</file>